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ild Configurator" sheetId="1" state="visible" r:id="rId1"/>
    <sheet name="Weapon Comparison" sheetId="2" state="visible" r:id="rId2"/>
    <sheet name="Armor &amp; DR Calculator" sheetId="3" state="visible" r:id="rId3"/>
    <sheet name="Perk Cards" sheetId="4" state="visible" r:id="rId4"/>
    <sheet name="Legendary Effects" sheetId="5" state="visible" r:id="rId5"/>
    <sheet name="Legendary Perks" sheetId="6" state="visible" r:id="rId6"/>
    <sheet name="Mechanics &amp; Caps" sheetId="7" state="visible" r:id="rId7"/>
    <sheet name="Perk Values" sheetId="8" state="visible" r:id="rId8"/>
    <sheet name="Legendary Values" sheetId="9" state="visible" r:id="rId9"/>
    <sheet name="Presets" sheetId="10" state="visible" r:id="rId10"/>
  </sheets>
  <definedNames>
    <definedName name="_xlnm._FilterDatabase" localSheetId="0" hidden="1">'Build Configurator'!$A$18:$I$261</definedName>
    <definedName name="_xlnm._FilterDatabase" localSheetId="1" hidden="1">'Weapon Comparison'!$A$50:$E$86</definedName>
    <definedName name="_xlnm._FilterDatabase" localSheetId="2" hidden="1">'Armor &amp; DR Calculator'!$A$11:$D$17</definedName>
    <definedName name="_xlnm._FilterDatabase" localSheetId="3" hidden="1">'Perk Cards'!$A$4:$F$247</definedName>
    <definedName name="_xlnm._FilterDatabase" localSheetId="4" hidden="1">'Legendary Effects'!$A$3:$G$29</definedName>
    <definedName name="_xlnm._FilterDatabase" localSheetId="5" hidden="1">'Legendary Perks'!$A$4:$F$23</definedName>
    <definedName name="_xlnm._FilterDatabase" localSheetId="6" hidden="1">'Mechanics &amp; Caps'!$A$3:$D$21</definedName>
    <definedName name="_xlnm._FilterDatabase" localSheetId="7" hidden="1">'Perk Values'!$A$4:$P$247</definedName>
    <definedName name="_xlnm._FilterDatabase" localSheetId="8" hidden="1">'Legendary Values'!$A$4:$F$22</definedName>
    <definedName name="_xlnm._FilterDatabase" localSheetId="9" hidden="1">'Presets'!$A$4:$IQ$6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i val="1"/>
      <color rgb="00555555"/>
    </font>
    <font>
      <b val="1"/>
      <color rgb="00FFFFFF"/>
    </font>
    <font>
      <b val="1"/>
    </font>
    <font>
      <b val="1"/>
      <sz val="12"/>
    </font>
  </fonts>
  <fills count="5">
    <fill>
      <patternFill/>
    </fill>
    <fill>
      <patternFill patternType="gray125"/>
    </fill>
    <fill>
      <patternFill patternType="solid">
        <fgColor rgb="002F3B2F"/>
      </patternFill>
    </fill>
    <fill>
      <patternFill patternType="solid">
        <fgColor rgb="00FFF4CC"/>
      </patternFill>
    </fill>
    <fill>
      <patternFill patternType="solid">
        <fgColor rgb="00D9E4D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3" borderId="1" pivotButton="0" quotePrefix="0" xfId="0"/>
    <xf numFmtId="0" fontId="5" fillId="0" borderId="0" pivotButton="0" quotePrefix="0" xfId="0"/>
    <xf numFmtId="0" fontId="3" fillId="2" borderId="1" applyAlignment="1" pivotButton="0" quotePrefix="0" xfId="0">
      <alignment horizontal="center" vertical="top" wrapText="1"/>
    </xf>
    <xf numFmtId="0" fontId="0" fillId="0" borderId="1" pivotButton="0" quotePrefix="0" xfId="0"/>
    <xf numFmtId="164" fontId="0" fillId="0" borderId="1" pivotButton="0" quotePrefix="0" xfId="0"/>
    <xf numFmtId="0" fontId="4" fillId="4" borderId="1" pivotButton="0" quotePrefix="0" xfId="0"/>
    <xf numFmtId="0" fontId="0" fillId="4" borderId="1" pivotButton="0" quotePrefix="0" xfId="0"/>
    <xf numFmtId="164" fontId="0" fillId="4"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1"/>
  <sheetViews>
    <sheetView tabSelected="1" workbookViewId="0">
      <pane ySplit="18" topLeftCell="A19" activePane="bottomLeft" state="frozen"/>
      <selection pane="bottomLeft" activeCell="A1" sqref="A1"/>
    </sheetView>
  </sheetViews>
  <sheetFormatPr baseColWidth="8" defaultRowHeight="15"/>
  <cols>
    <col width="9" customWidth="1" min="1" max="1"/>
    <col width="20" customWidth="1" min="2" max="2"/>
    <col width="7" customWidth="1" min="3" max="3"/>
    <col width="10" customWidth="1" min="4" max="4"/>
    <col width="20" customWidth="1" min="5" max="5"/>
    <col width="11" customWidth="1" min="6" max="6"/>
    <col width="13" customWidth="1" min="7" max="7"/>
    <col width="34" customWidth="1" min="8" max="8"/>
    <col width="30" customWidth="1" min="9" max="9"/>
  </cols>
  <sheetData>
    <row r="1">
      <c r="A1" s="1" t="inlineStr">
        <is>
          <t>Build Configurator</t>
        </is>
      </c>
    </row>
    <row r="2" ht="30" customHeight="1">
      <c r="A2" s="2" t="inlineStr">
        <is>
          <t>Pick a preset to fill every value below, then type over any SPECIAL or Rank cell to customize it — typing a number replaces that one cell's formula without affecting the rest. SPECIAL and Rank are whole-number inputs (1-15 and 0-3 respectively); 'Valid?' flags a rank that exceeds a perk's real max.</t>
        </is>
      </c>
    </row>
    <row r="4">
      <c r="A4" s="3" t="inlineStr">
        <is>
          <t>Preset:</t>
        </is>
      </c>
      <c r="B4" s="4" t="inlineStr">
        <is>
          <t>Atom - Ghoul VATS/Onslaught/Cripple</t>
        </is>
      </c>
    </row>
    <row r="6">
      <c r="A6" s="5" t="inlineStr">
        <is>
          <t>SPECIAL</t>
        </is>
      </c>
    </row>
    <row r="7">
      <c r="A7" s="6" t="inlineStr">
        <is>
          <t>SPECIAL</t>
        </is>
      </c>
      <c r="B7" s="6" t="inlineStr">
        <is>
          <t>Value</t>
        </is>
      </c>
      <c r="C7" s="6" t="inlineStr">
        <is>
          <t>Points Used</t>
        </is>
      </c>
      <c r="D7" s="6" t="inlineStr">
        <is>
          <t>Free Points</t>
        </is>
      </c>
      <c r="E7" s="6" t="inlineStr">
        <is>
          <t>Status</t>
        </is>
      </c>
    </row>
    <row r="8">
      <c r="A8" s="7" t="inlineStr">
        <is>
          <t>STR</t>
        </is>
      </c>
      <c r="B8" s="4">
        <f>VLOOKUP($B$4,Presets!$A$5:$IQ$6,2,FALSE)</f>
        <v/>
      </c>
      <c r="C8" s="7">
        <f>SUMIF($A$19:$A$261,A8,$F$19:$F$261)</f>
        <v/>
      </c>
      <c r="D8" s="7">
        <f>B8-C8</f>
        <v/>
      </c>
      <c r="E8" s="7">
        <f>IF(D8&lt;0,"OVER-ALLOCATED",IF(D8=0,"Fully allocated","Points free"))</f>
        <v/>
      </c>
    </row>
    <row r="9">
      <c r="A9" s="7" t="inlineStr">
        <is>
          <t>PER</t>
        </is>
      </c>
      <c r="B9" s="4">
        <f>VLOOKUP($B$4,Presets!$A$5:$IQ$6,3,FALSE)</f>
        <v/>
      </c>
      <c r="C9" s="7">
        <f>SUMIF($A$19:$A$261,A9,$F$19:$F$261)</f>
        <v/>
      </c>
      <c r="D9" s="7">
        <f>B9-C9</f>
        <v/>
      </c>
      <c r="E9" s="7">
        <f>IF(D9&lt;0,"OVER-ALLOCATED",IF(D9=0,"Fully allocated","Points free"))</f>
        <v/>
      </c>
    </row>
    <row r="10">
      <c r="A10" s="7" t="inlineStr">
        <is>
          <t>END</t>
        </is>
      </c>
      <c r="B10" s="4">
        <f>VLOOKUP($B$4,Presets!$A$5:$IQ$6,4,FALSE)</f>
        <v/>
      </c>
      <c r="C10" s="7">
        <f>SUMIF($A$19:$A$261,A10,$F$19:$F$261)</f>
        <v/>
      </c>
      <c r="D10" s="7">
        <f>B10-C10</f>
        <v/>
      </c>
      <c r="E10" s="7">
        <f>IF(D10&lt;0,"OVER-ALLOCATED",IF(D10=0,"Fully allocated","Points free"))</f>
        <v/>
      </c>
    </row>
    <row r="11">
      <c r="A11" s="7" t="inlineStr">
        <is>
          <t>CHA</t>
        </is>
      </c>
      <c r="B11" s="4">
        <f>VLOOKUP($B$4,Presets!$A$5:$IQ$6,5,FALSE)</f>
        <v/>
      </c>
      <c r="C11" s="7">
        <f>SUMIF($A$19:$A$261,A11,$F$19:$F$261)</f>
        <v/>
      </c>
      <c r="D11" s="7">
        <f>B11-C11</f>
        <v/>
      </c>
      <c r="E11" s="7">
        <f>IF(D11&lt;0,"OVER-ALLOCATED",IF(D11=0,"Fully allocated","Points free"))</f>
        <v/>
      </c>
    </row>
    <row r="12">
      <c r="A12" s="7" t="inlineStr">
        <is>
          <t>INT</t>
        </is>
      </c>
      <c r="B12" s="4">
        <f>VLOOKUP($B$4,Presets!$A$5:$IQ$6,6,FALSE)</f>
        <v/>
      </c>
      <c r="C12" s="7">
        <f>SUMIF($A$19:$A$261,A12,$F$19:$F$261)</f>
        <v/>
      </c>
      <c r="D12" s="7">
        <f>B12-C12</f>
        <v/>
      </c>
      <c r="E12" s="7">
        <f>IF(D12&lt;0,"OVER-ALLOCATED",IF(D12=0,"Fully allocated","Points free"))</f>
        <v/>
      </c>
    </row>
    <row r="13">
      <c r="A13" s="7" t="inlineStr">
        <is>
          <t>AGI</t>
        </is>
      </c>
      <c r="B13" s="4">
        <f>VLOOKUP($B$4,Presets!$A$5:$IQ$6,7,FALSE)</f>
        <v/>
      </c>
      <c r="C13" s="7">
        <f>SUMIF($A$19:$A$261,A13,$F$19:$F$261)</f>
        <v/>
      </c>
      <c r="D13" s="7">
        <f>B13-C13</f>
        <v/>
      </c>
      <c r="E13" s="7">
        <f>IF(D13&lt;0,"OVER-ALLOCATED",IF(D13=0,"Fully allocated","Points free"))</f>
        <v/>
      </c>
    </row>
    <row r="14">
      <c r="A14" s="7" t="inlineStr">
        <is>
          <t>LCK</t>
        </is>
      </c>
      <c r="B14" s="4">
        <f>VLOOKUP($B$4,Presets!$A$5:$IQ$6,8,FALSE)</f>
        <v/>
      </c>
      <c r="C14" s="7">
        <f>SUMIF($A$19:$A$261,A14,$F$19:$F$261)</f>
        <v/>
      </c>
      <c r="D14" s="7">
        <f>B14-C14</f>
        <v/>
      </c>
      <c r="E14" s="7">
        <f>IF(D14&lt;0,"OVER-ALLOCATED",IF(D14=0,"Fully allocated","Points free"))</f>
        <v/>
      </c>
    </row>
    <row r="17">
      <c r="A17" s="5" t="inlineStr">
        <is>
          <t>Perks</t>
        </is>
      </c>
    </row>
    <row r="18">
      <c r="A18" s="6" t="inlineStr">
        <is>
          <t>SPECIAL</t>
        </is>
      </c>
      <c r="B18" s="6" t="inlineStr">
        <is>
          <t>Perk</t>
        </is>
      </c>
      <c r="C18" s="6" t="inlineStr">
        <is>
          <t>Rank</t>
        </is>
      </c>
      <c r="D18" s="6" t="inlineStr">
        <is>
          <t>Max Rank</t>
        </is>
      </c>
      <c r="E18" s="6" t="inlineStr">
        <is>
          <t>Valid?</t>
        </is>
      </c>
      <c r="F18" s="6" t="inlineStr">
        <is>
          <t>Point Cost</t>
        </is>
      </c>
      <c r="G18" s="6" t="inlineStr">
        <is>
          <t>Current Value</t>
        </is>
      </c>
      <c r="H18" s="6" t="inlineStr">
        <is>
          <t>Bucket</t>
        </is>
      </c>
      <c r="I18" s="6" t="inlineStr">
        <is>
          <t>Notes</t>
        </is>
      </c>
    </row>
    <row r="19">
      <c r="A19" s="7" t="inlineStr">
        <is>
          <t>STR</t>
        </is>
      </c>
      <c r="B19" s="7" t="inlineStr">
        <is>
          <t>Arms Keeper</t>
        </is>
      </c>
      <c r="C19" s="4">
        <f>VLOOKUP($B$4,Presets!$A$5:$IQ$6,9,FALSE)</f>
        <v/>
      </c>
      <c r="D19" s="7">
        <f>INDEX('Perk Values'!$C$5:$C$247,MATCH($B19,'Perk Values'!$A$5:$A$247,0))</f>
        <v/>
      </c>
      <c r="E19" s="7">
        <f>IF(C19&lt;=D19,"OK","exceeds max rank "&amp;D19)</f>
        <v/>
      </c>
      <c r="F19" s="7">
        <f>INDEX('Perk Values'!$G$5:$K$247,MATCH($B19,'Perk Values'!$A$5:$A$247,0),C19+1)</f>
        <v/>
      </c>
      <c r="G19" s="7">
        <f>INDEX('Perk Values'!$L$5:$P$247,MATCH($B19,'Perk Values'!$A$5:$A$247,0),C19+1)</f>
        <v/>
      </c>
      <c r="H19" s="7">
        <f>INDEX('Perk Values'!$D$5:$D$247,MATCH($B19,'Perk Values'!$A$5:$A$247,0))</f>
        <v/>
      </c>
      <c r="I19" s="7" t="inlineStr"/>
    </row>
    <row r="20">
      <c r="A20" s="7" t="inlineStr">
        <is>
          <t>STR</t>
        </is>
      </c>
      <c r="B20" s="7" t="inlineStr">
        <is>
          <t>Bandolier</t>
        </is>
      </c>
      <c r="C20" s="4">
        <f>VLOOKUP($B$4,Presets!$A$5:$IQ$6,10,FALSE)</f>
        <v/>
      </c>
      <c r="D20" s="7">
        <f>INDEX('Perk Values'!$C$5:$C$247,MATCH($B20,'Perk Values'!$A$5:$A$247,0))</f>
        <v/>
      </c>
      <c r="E20" s="7">
        <f>IF(C20&lt;=D20,"OK","exceeds max rank "&amp;D20)</f>
        <v/>
      </c>
      <c r="F20" s="7">
        <f>INDEX('Perk Values'!$G$5:$K$247,MATCH($B20,'Perk Values'!$A$5:$A$247,0),C20+1)</f>
        <v/>
      </c>
      <c r="G20" s="7">
        <f>INDEX('Perk Values'!$L$5:$P$247,MATCH($B20,'Perk Values'!$A$5:$A$247,0),C20+1)</f>
        <v/>
      </c>
      <c r="H20" s="7">
        <f>INDEX('Perk Values'!$D$5:$D$247,MATCH($B20,'Perk Values'!$A$5:$A$247,0))</f>
        <v/>
      </c>
      <c r="I20" s="7" t="inlineStr"/>
    </row>
    <row r="21">
      <c r="A21" s="7" t="inlineStr">
        <is>
          <t>STR</t>
        </is>
      </c>
      <c r="B21" s="7" t="inlineStr">
        <is>
          <t>Barbarian</t>
        </is>
      </c>
      <c r="C21" s="4">
        <f>VLOOKUP($B$4,Presets!$A$5:$IQ$6,11,FALSE)</f>
        <v/>
      </c>
      <c r="D21" s="7">
        <f>INDEX('Perk Values'!$C$5:$C$247,MATCH($B21,'Perk Values'!$A$5:$A$247,0))</f>
        <v/>
      </c>
      <c r="E21" s="7">
        <f>IF(C21&lt;=D21,"OK","exceeds max rank "&amp;D21)</f>
        <v/>
      </c>
      <c r="F21" s="7">
        <f>INDEX('Perk Values'!$G$5:$K$247,MATCH($B21,'Perk Values'!$A$5:$A$247,0),C21+1)</f>
        <v/>
      </c>
      <c r="G21" s="7">
        <f>INDEX('Perk Values'!$L$5:$P$247,MATCH($B21,'Perk Values'!$A$5:$A$247,0),C21+1)</f>
        <v/>
      </c>
      <c r="H21" s="7">
        <f>INDEX('Perk Values'!$D$5:$D$247,MATCH($B21,'Perk Values'!$A$5:$A$247,0))</f>
        <v/>
      </c>
      <c r="I21" s="7" t="inlineStr"/>
    </row>
    <row r="22">
      <c r="A22" s="7" t="inlineStr">
        <is>
          <t>STR</t>
        </is>
      </c>
      <c r="B22" s="7" t="inlineStr">
        <is>
          <t>Basher</t>
        </is>
      </c>
      <c r="C22" s="4">
        <f>VLOOKUP($B$4,Presets!$A$5:$IQ$6,12,FALSE)</f>
        <v/>
      </c>
      <c r="D22" s="7">
        <f>INDEX('Perk Values'!$C$5:$C$247,MATCH($B22,'Perk Values'!$A$5:$A$247,0))</f>
        <v/>
      </c>
      <c r="E22" s="7">
        <f>IF(C22&lt;=D22,"OK","exceeds max rank "&amp;D22)</f>
        <v/>
      </c>
      <c r="F22" s="7">
        <f>INDEX('Perk Values'!$G$5:$K$247,MATCH($B22,'Perk Values'!$A$5:$A$247,0),C22+1)</f>
        <v/>
      </c>
      <c r="G22" s="7">
        <f>INDEX('Perk Values'!$L$5:$P$247,MATCH($B22,'Perk Values'!$A$5:$A$247,0),C22+1)</f>
        <v/>
      </c>
      <c r="H22" s="7">
        <f>INDEX('Perk Values'!$D$5:$D$247,MATCH($B22,'Perk Values'!$A$5:$A$247,0))</f>
        <v/>
      </c>
      <c r="I22" s="7" t="inlineStr"/>
    </row>
    <row r="23">
      <c r="A23" s="7" t="inlineStr">
        <is>
          <t>STR</t>
        </is>
      </c>
      <c r="B23" s="7" t="inlineStr">
        <is>
          <t>Bear Arms</t>
        </is>
      </c>
      <c r="C23" s="4">
        <f>VLOOKUP($B$4,Presets!$A$5:$IQ$6,13,FALSE)</f>
        <v/>
      </c>
      <c r="D23" s="7">
        <f>INDEX('Perk Values'!$C$5:$C$247,MATCH($B23,'Perk Values'!$A$5:$A$247,0))</f>
        <v/>
      </c>
      <c r="E23" s="7">
        <f>IF(C23&lt;=D23,"OK","exceeds max rank "&amp;D23)</f>
        <v/>
      </c>
      <c r="F23" s="7">
        <f>INDEX('Perk Values'!$G$5:$K$247,MATCH($B23,'Perk Values'!$A$5:$A$247,0),C23+1)</f>
        <v/>
      </c>
      <c r="G23" s="7">
        <f>INDEX('Perk Values'!$L$5:$P$247,MATCH($B23,'Perk Values'!$A$5:$A$247,0),C23+1)</f>
        <v/>
      </c>
      <c r="H23" s="7">
        <f>INDEX('Perk Values'!$D$5:$D$247,MATCH($B23,'Perk Values'!$A$5:$A$247,0))</f>
        <v/>
      </c>
      <c r="I23" s="7" t="inlineStr"/>
    </row>
    <row r="24">
      <c r="A24" s="7" t="inlineStr">
        <is>
          <t>STR</t>
        </is>
      </c>
      <c r="B24" s="7" t="inlineStr">
        <is>
          <t>Blocker</t>
        </is>
      </c>
      <c r="C24" s="4">
        <f>VLOOKUP($B$4,Presets!$A$5:$IQ$6,14,FALSE)</f>
        <v/>
      </c>
      <c r="D24" s="7">
        <f>INDEX('Perk Values'!$C$5:$C$247,MATCH($B24,'Perk Values'!$A$5:$A$247,0))</f>
        <v/>
      </c>
      <c r="E24" s="7">
        <f>IF(C24&lt;=D24,"OK","exceeds max rank "&amp;D24)</f>
        <v/>
      </c>
      <c r="F24" s="7">
        <f>INDEX('Perk Values'!$G$5:$K$247,MATCH($B24,'Perk Values'!$A$5:$A$247,0),C24+1)</f>
        <v/>
      </c>
      <c r="G24" s="7">
        <f>INDEX('Perk Values'!$L$5:$P$247,MATCH($B24,'Perk Values'!$A$5:$A$247,0),C24+1)</f>
        <v/>
      </c>
      <c r="H24" s="7">
        <f>INDEX('Perk Values'!$D$5:$D$247,MATCH($B24,'Perk Values'!$A$5:$A$247,0))</f>
        <v/>
      </c>
      <c r="I24" s="7" t="inlineStr"/>
    </row>
    <row r="25">
      <c r="A25" s="7" t="inlineStr">
        <is>
          <t>STR</t>
        </is>
      </c>
      <c r="B25" s="7" t="inlineStr">
        <is>
          <t>Blood Luster</t>
        </is>
      </c>
      <c r="C25" s="4">
        <f>VLOOKUP($B$4,Presets!$A$5:$IQ$6,15,FALSE)</f>
        <v/>
      </c>
      <c r="D25" s="7">
        <f>INDEX('Perk Values'!$C$5:$C$247,MATCH($B25,'Perk Values'!$A$5:$A$247,0))</f>
        <v/>
      </c>
      <c r="E25" s="7">
        <f>IF(C25&lt;=D25,"OK","exceeds max rank "&amp;D25)</f>
        <v/>
      </c>
      <c r="F25" s="7">
        <f>INDEX('Perk Values'!$G$5:$K$247,MATCH($B25,'Perk Values'!$A$5:$A$247,0),C25+1)</f>
        <v/>
      </c>
      <c r="G25" s="7">
        <f>INDEX('Perk Values'!$L$5:$P$247,MATCH($B25,'Perk Values'!$A$5:$A$247,0),C25+1)</f>
        <v/>
      </c>
      <c r="H25" s="7">
        <f>INDEX('Perk Values'!$D$5:$D$247,MATCH($B25,'Perk Values'!$A$5:$A$247,0))</f>
        <v/>
      </c>
      <c r="I25" s="7" t="inlineStr"/>
    </row>
    <row r="26">
      <c r="A26" s="7" t="inlineStr">
        <is>
          <t>STR</t>
        </is>
      </c>
      <c r="B26" s="7" t="inlineStr">
        <is>
          <t>Bringing the Big Guns</t>
        </is>
      </c>
      <c r="C26" s="4">
        <f>VLOOKUP($B$4,Presets!$A$5:$IQ$6,16,FALSE)</f>
        <v/>
      </c>
      <c r="D26" s="7">
        <f>INDEX('Perk Values'!$C$5:$C$247,MATCH($B26,'Perk Values'!$A$5:$A$247,0))</f>
        <v/>
      </c>
      <c r="E26" s="7">
        <f>IF(C26&lt;=D26,"OK","exceeds max rank "&amp;D26)</f>
        <v/>
      </c>
      <c r="F26" s="7">
        <f>INDEX('Perk Values'!$G$5:$K$247,MATCH($B26,'Perk Values'!$A$5:$A$247,0),C26+1)</f>
        <v/>
      </c>
      <c r="G26" s="7">
        <f>INDEX('Perk Values'!$L$5:$P$247,MATCH($B26,'Perk Values'!$A$5:$A$247,0),C26+1)</f>
        <v/>
      </c>
      <c r="H26" s="7">
        <f>INDEX('Perk Values'!$D$5:$D$247,MATCH($B26,'Perk Values'!$A$5:$A$247,0))</f>
        <v/>
      </c>
      <c r="I26" s="7" t="inlineStr"/>
    </row>
    <row r="27">
      <c r="A27" s="7" t="inlineStr">
        <is>
          <t>STR</t>
        </is>
      </c>
      <c r="B27" s="7" t="inlineStr">
        <is>
          <t>Bullet Storm</t>
        </is>
      </c>
      <c r="C27" s="4">
        <f>VLOOKUP($B$4,Presets!$A$5:$IQ$6,17,FALSE)</f>
        <v/>
      </c>
      <c r="D27" s="7">
        <f>INDEX('Perk Values'!$C$5:$C$247,MATCH($B27,'Perk Values'!$A$5:$A$247,0))</f>
        <v/>
      </c>
      <c r="E27" s="7">
        <f>IF(C27&lt;=D27,"OK","exceeds max rank "&amp;D27)</f>
        <v/>
      </c>
      <c r="F27" s="7">
        <f>INDEX('Perk Values'!$G$5:$K$247,MATCH($B27,'Perk Values'!$A$5:$A$247,0),C27+1)</f>
        <v/>
      </c>
      <c r="G27" s="7">
        <f>INDEX('Perk Values'!$L$5:$P$247,MATCH($B27,'Perk Values'!$A$5:$A$247,0),C27+1)</f>
        <v/>
      </c>
      <c r="H27" s="7">
        <f>INDEX('Perk Values'!$D$5:$D$247,MATCH($B27,'Perk Values'!$A$5:$A$247,0))</f>
        <v/>
      </c>
      <c r="I27" s="7" t="inlineStr"/>
    </row>
    <row r="28">
      <c r="A28" s="7" t="inlineStr">
        <is>
          <t>STR</t>
        </is>
      </c>
      <c r="B28" s="7" t="inlineStr">
        <is>
          <t>Easy Target</t>
        </is>
      </c>
      <c r="C28" s="4">
        <f>VLOOKUP($B$4,Presets!$A$5:$IQ$6,18,FALSE)</f>
        <v/>
      </c>
      <c r="D28" s="7">
        <f>INDEX('Perk Values'!$C$5:$C$247,MATCH($B28,'Perk Values'!$A$5:$A$247,0))</f>
        <v/>
      </c>
      <c r="E28" s="7">
        <f>IF(C28&lt;=D28,"OK","exceeds max rank "&amp;D28)</f>
        <v/>
      </c>
      <c r="F28" s="7">
        <f>INDEX('Perk Values'!$G$5:$K$247,MATCH($B28,'Perk Values'!$A$5:$A$247,0),C28+1)</f>
        <v/>
      </c>
      <c r="G28" s="7">
        <f>INDEX('Perk Values'!$L$5:$P$247,MATCH($B28,'Perk Values'!$A$5:$A$247,0),C28+1)</f>
        <v/>
      </c>
      <c r="H28" s="7">
        <f>INDEX('Perk Values'!$D$5:$D$247,MATCH($B28,'Perk Values'!$A$5:$A$247,0))</f>
        <v/>
      </c>
      <c r="I28" s="7" t="inlineStr"/>
    </row>
    <row r="29">
      <c r="A29" s="7" t="inlineStr">
        <is>
          <t>STR</t>
        </is>
      </c>
      <c r="B29" s="7" t="inlineStr">
        <is>
          <t>Full Charge</t>
        </is>
      </c>
      <c r="C29" s="4">
        <f>VLOOKUP($B$4,Presets!$A$5:$IQ$6,19,FALSE)</f>
        <v/>
      </c>
      <c r="D29" s="7">
        <f>INDEX('Perk Values'!$C$5:$C$247,MATCH($B29,'Perk Values'!$A$5:$A$247,0))</f>
        <v/>
      </c>
      <c r="E29" s="7">
        <f>IF(C29&lt;=D29,"OK","exceeds max rank "&amp;D29)</f>
        <v/>
      </c>
      <c r="F29" s="7">
        <f>INDEX('Perk Values'!$G$5:$K$247,MATCH($B29,'Perk Values'!$A$5:$A$247,0),C29+1)</f>
        <v/>
      </c>
      <c r="G29" s="7">
        <f>INDEX('Perk Values'!$L$5:$P$247,MATCH($B29,'Perk Values'!$A$5:$A$247,0),C29+1)</f>
        <v/>
      </c>
      <c r="H29" s="7">
        <f>INDEX('Perk Values'!$D$5:$D$247,MATCH($B29,'Perk Values'!$A$5:$A$247,0))</f>
        <v/>
      </c>
      <c r="I29" s="7" t="inlineStr"/>
    </row>
    <row r="30">
      <c r="A30" s="7" t="inlineStr">
        <is>
          <t>STR</t>
        </is>
      </c>
      <c r="B30" s="7" t="inlineStr">
        <is>
          <t>Heavy Hitter</t>
        </is>
      </c>
      <c r="C30" s="4">
        <f>VLOOKUP($B$4,Presets!$A$5:$IQ$6,20,FALSE)</f>
        <v/>
      </c>
      <c r="D30" s="7">
        <f>INDEX('Perk Values'!$C$5:$C$247,MATCH($B30,'Perk Values'!$A$5:$A$247,0))</f>
        <v/>
      </c>
      <c r="E30" s="7">
        <f>IF(C30&lt;=D30,"OK","exceeds max rank "&amp;D30)</f>
        <v/>
      </c>
      <c r="F30" s="7">
        <f>INDEX('Perk Values'!$G$5:$K$247,MATCH($B30,'Perk Values'!$A$5:$A$247,0),C30+1)</f>
        <v/>
      </c>
      <c r="G30" s="7">
        <f>INDEX('Perk Values'!$L$5:$P$247,MATCH($B30,'Perk Values'!$A$5:$A$247,0),C30+1)</f>
        <v/>
      </c>
      <c r="H30" s="7">
        <f>INDEX('Perk Values'!$D$5:$D$247,MATCH($B30,'Perk Values'!$A$5:$A$247,0))</f>
        <v/>
      </c>
      <c r="I30" s="7" t="inlineStr"/>
    </row>
    <row r="31">
      <c r="A31" s="7" t="inlineStr">
        <is>
          <t>STR</t>
        </is>
      </c>
      <c r="B31" s="7" t="inlineStr">
        <is>
          <t>Incisor</t>
        </is>
      </c>
      <c r="C31" s="4">
        <f>VLOOKUP($B$4,Presets!$A$5:$IQ$6,21,FALSE)</f>
        <v/>
      </c>
      <c r="D31" s="7">
        <f>INDEX('Perk Values'!$C$5:$C$247,MATCH($B31,'Perk Values'!$A$5:$A$247,0))</f>
        <v/>
      </c>
      <c r="E31" s="7">
        <f>IF(C31&lt;=D31,"OK","exceeds max rank "&amp;D31)</f>
        <v/>
      </c>
      <c r="F31" s="7">
        <f>INDEX('Perk Values'!$G$5:$K$247,MATCH($B31,'Perk Values'!$A$5:$A$247,0),C31+1)</f>
        <v/>
      </c>
      <c r="G31" s="7">
        <f>INDEX('Perk Values'!$L$5:$P$247,MATCH($B31,'Perk Values'!$A$5:$A$247,0),C31+1)</f>
        <v/>
      </c>
      <c r="H31" s="7">
        <f>INDEX('Perk Values'!$D$5:$D$247,MATCH($B31,'Perk Values'!$A$5:$A$247,0))</f>
        <v/>
      </c>
      <c r="I31" s="7" t="inlineStr"/>
    </row>
    <row r="32">
      <c r="A32" s="7" t="inlineStr">
        <is>
          <t>STR</t>
        </is>
      </c>
      <c r="B32" s="7" t="inlineStr">
        <is>
          <t>Iron Fist</t>
        </is>
      </c>
      <c r="C32" s="4">
        <f>VLOOKUP($B$4,Presets!$A$5:$IQ$6,22,FALSE)</f>
        <v/>
      </c>
      <c r="D32" s="7">
        <f>INDEX('Perk Values'!$C$5:$C$247,MATCH($B32,'Perk Values'!$A$5:$A$247,0))</f>
        <v/>
      </c>
      <c r="E32" s="7">
        <f>IF(C32&lt;=D32,"OK","exceeds max rank "&amp;D32)</f>
        <v/>
      </c>
      <c r="F32" s="7">
        <f>INDEX('Perk Values'!$G$5:$K$247,MATCH($B32,'Perk Values'!$A$5:$A$247,0),C32+1)</f>
        <v/>
      </c>
      <c r="G32" s="7">
        <f>INDEX('Perk Values'!$L$5:$P$247,MATCH($B32,'Perk Values'!$A$5:$A$247,0),C32+1)</f>
        <v/>
      </c>
      <c r="H32" s="7">
        <f>INDEX('Perk Values'!$D$5:$D$247,MATCH($B32,'Perk Values'!$A$5:$A$247,0))</f>
        <v/>
      </c>
      <c r="I32" s="7" t="inlineStr"/>
    </row>
    <row r="33">
      <c r="A33" s="7" t="inlineStr">
        <is>
          <t>STR</t>
        </is>
      </c>
      <c r="B33" s="7" t="inlineStr">
        <is>
          <t>Knee-Capper</t>
        </is>
      </c>
      <c r="C33" s="4">
        <f>VLOOKUP($B$4,Presets!$A$5:$IQ$6,23,FALSE)</f>
        <v/>
      </c>
      <c r="D33" s="7">
        <f>INDEX('Perk Values'!$C$5:$C$247,MATCH($B33,'Perk Values'!$A$5:$A$247,0))</f>
        <v/>
      </c>
      <c r="E33" s="7">
        <f>IF(C33&lt;=D33,"OK","exceeds max rank "&amp;D33)</f>
        <v/>
      </c>
      <c r="F33" s="7">
        <f>INDEX('Perk Values'!$G$5:$K$247,MATCH($B33,'Perk Values'!$A$5:$A$247,0),C33+1)</f>
        <v/>
      </c>
      <c r="G33" s="7">
        <f>INDEX('Perk Values'!$L$5:$P$247,MATCH($B33,'Perk Values'!$A$5:$A$247,0),C33+1)</f>
        <v/>
      </c>
      <c r="H33" s="7">
        <f>INDEX('Perk Values'!$D$5:$D$247,MATCH($B33,'Perk Values'!$A$5:$A$247,0))</f>
        <v/>
      </c>
      <c r="I33" s="7" t="inlineStr"/>
    </row>
    <row r="34">
      <c r="A34" s="7" t="inlineStr">
        <is>
          <t>STR</t>
        </is>
      </c>
      <c r="B34" s="7" t="inlineStr">
        <is>
          <t>Lock and Load</t>
        </is>
      </c>
      <c r="C34" s="4">
        <f>VLOOKUP($B$4,Presets!$A$5:$IQ$6,24,FALSE)</f>
        <v/>
      </c>
      <c r="D34" s="7">
        <f>INDEX('Perk Values'!$C$5:$C$247,MATCH($B34,'Perk Values'!$A$5:$A$247,0))</f>
        <v/>
      </c>
      <c r="E34" s="7">
        <f>IF(C34&lt;=D34,"OK","exceeds max rank "&amp;D34)</f>
        <v/>
      </c>
      <c r="F34" s="7">
        <f>INDEX('Perk Values'!$G$5:$K$247,MATCH($B34,'Perk Values'!$A$5:$A$247,0),C34+1)</f>
        <v/>
      </c>
      <c r="G34" s="7">
        <f>INDEX('Perk Values'!$L$5:$P$247,MATCH($B34,'Perk Values'!$A$5:$A$247,0),C34+1)</f>
        <v/>
      </c>
      <c r="H34" s="7">
        <f>INDEX('Perk Values'!$D$5:$D$247,MATCH($B34,'Perk Values'!$A$5:$A$247,0))</f>
        <v/>
      </c>
      <c r="I34" s="7" t="inlineStr"/>
    </row>
    <row r="35">
      <c r="A35" s="7" t="inlineStr">
        <is>
          <t>STR</t>
        </is>
      </c>
      <c r="B35" s="7" t="inlineStr">
        <is>
          <t>Love the Spread</t>
        </is>
      </c>
      <c r="C35" s="4">
        <f>VLOOKUP($B$4,Presets!$A$5:$IQ$6,25,FALSE)</f>
        <v/>
      </c>
      <c r="D35" s="7">
        <f>INDEX('Perk Values'!$C$5:$C$247,MATCH($B35,'Perk Values'!$A$5:$A$247,0))</f>
        <v/>
      </c>
      <c r="E35" s="7">
        <f>IF(C35&lt;=D35,"OK","exceeds max rank "&amp;D35)</f>
        <v/>
      </c>
      <c r="F35" s="7">
        <f>INDEX('Perk Values'!$G$5:$K$247,MATCH($B35,'Perk Values'!$A$5:$A$247,0),C35+1)</f>
        <v/>
      </c>
      <c r="G35" s="7">
        <f>INDEX('Perk Values'!$L$5:$P$247,MATCH($B35,'Perk Values'!$A$5:$A$247,0),C35+1)</f>
        <v/>
      </c>
      <c r="H35" s="7">
        <f>INDEX('Perk Values'!$D$5:$D$247,MATCH($B35,'Perk Values'!$A$5:$A$247,0))</f>
        <v/>
      </c>
      <c r="I35" s="7" t="inlineStr"/>
    </row>
    <row r="36">
      <c r="A36" s="7" t="inlineStr">
        <is>
          <t>STR</t>
        </is>
      </c>
      <c r="B36" s="7" t="inlineStr">
        <is>
          <t>Martial Artist</t>
        </is>
      </c>
      <c r="C36" s="4">
        <f>VLOOKUP($B$4,Presets!$A$5:$IQ$6,26,FALSE)</f>
        <v/>
      </c>
      <c r="D36" s="7">
        <f>INDEX('Perk Values'!$C$5:$C$247,MATCH($B36,'Perk Values'!$A$5:$A$247,0))</f>
        <v/>
      </c>
      <c r="E36" s="7">
        <f>IF(C36&lt;=D36,"OK","exceeds max rank "&amp;D36)</f>
        <v/>
      </c>
      <c r="F36" s="7">
        <f>INDEX('Perk Values'!$G$5:$K$247,MATCH($B36,'Perk Values'!$A$5:$A$247,0),C36+1)</f>
        <v/>
      </c>
      <c r="G36" s="7">
        <f>INDEX('Perk Values'!$L$5:$P$247,MATCH($B36,'Perk Values'!$A$5:$A$247,0),C36+1)</f>
        <v/>
      </c>
      <c r="H36" s="7">
        <f>INDEX('Perk Values'!$D$5:$D$247,MATCH($B36,'Perk Values'!$A$5:$A$247,0))</f>
        <v/>
      </c>
      <c r="I36" s="7" t="inlineStr"/>
    </row>
    <row r="37">
      <c r="A37" s="7" t="inlineStr">
        <is>
          <t>STR</t>
        </is>
      </c>
      <c r="B37" s="7" t="inlineStr">
        <is>
          <t>Natural Stance</t>
        </is>
      </c>
      <c r="C37" s="4">
        <f>VLOOKUP($B$4,Presets!$A$5:$IQ$6,27,FALSE)</f>
        <v/>
      </c>
      <c r="D37" s="7">
        <f>INDEX('Perk Values'!$C$5:$C$247,MATCH($B37,'Perk Values'!$A$5:$A$247,0))</f>
        <v/>
      </c>
      <c r="E37" s="7">
        <f>IF(C37&lt;=D37,"OK","exceeds max rank "&amp;D37)</f>
        <v/>
      </c>
      <c r="F37" s="7">
        <f>INDEX('Perk Values'!$G$5:$K$247,MATCH($B37,'Perk Values'!$A$5:$A$247,0),C37+1)</f>
        <v/>
      </c>
      <c r="G37" s="7">
        <f>INDEX('Perk Values'!$L$5:$P$247,MATCH($B37,'Perk Values'!$A$5:$A$247,0),C37+1)</f>
        <v/>
      </c>
      <c r="H37" s="7">
        <f>INDEX('Perk Values'!$D$5:$D$247,MATCH($B37,'Perk Values'!$A$5:$A$247,0))</f>
        <v/>
      </c>
      <c r="I37" s="7" t="inlineStr"/>
    </row>
    <row r="38">
      <c r="A38" s="7" t="inlineStr">
        <is>
          <t>STR</t>
        </is>
      </c>
      <c r="B38" s="7" t="inlineStr">
        <is>
          <t>Ordnance Express</t>
        </is>
      </c>
      <c r="C38" s="4">
        <f>VLOOKUP($B$4,Presets!$A$5:$IQ$6,28,FALSE)</f>
        <v/>
      </c>
      <c r="D38" s="7">
        <f>INDEX('Perk Values'!$C$5:$C$247,MATCH($B38,'Perk Values'!$A$5:$A$247,0))</f>
        <v/>
      </c>
      <c r="E38" s="7">
        <f>IF(C38&lt;=D38,"OK","exceeds max rank "&amp;D38)</f>
        <v/>
      </c>
      <c r="F38" s="7">
        <f>INDEX('Perk Values'!$G$5:$K$247,MATCH($B38,'Perk Values'!$A$5:$A$247,0),C38+1)</f>
        <v/>
      </c>
      <c r="G38" s="7">
        <f>INDEX('Perk Values'!$L$5:$P$247,MATCH($B38,'Perk Values'!$A$5:$A$247,0),C38+1)</f>
        <v/>
      </c>
      <c r="H38" s="7">
        <f>INDEX('Perk Values'!$D$5:$D$247,MATCH($B38,'Perk Values'!$A$5:$A$247,0))</f>
        <v/>
      </c>
      <c r="I38" s="7" t="inlineStr"/>
    </row>
    <row r="39">
      <c r="A39" s="7" t="inlineStr">
        <is>
          <t>STR</t>
        </is>
      </c>
      <c r="B39" s="7" t="inlineStr">
        <is>
          <t>Pack Rat</t>
        </is>
      </c>
      <c r="C39" s="4">
        <f>VLOOKUP($B$4,Presets!$A$5:$IQ$6,29,FALSE)</f>
        <v/>
      </c>
      <c r="D39" s="7">
        <f>INDEX('Perk Values'!$C$5:$C$247,MATCH($B39,'Perk Values'!$A$5:$A$247,0))</f>
        <v/>
      </c>
      <c r="E39" s="7">
        <f>IF(C39&lt;=D39,"OK","exceeds max rank "&amp;D39)</f>
        <v/>
      </c>
      <c r="F39" s="7">
        <f>INDEX('Perk Values'!$G$5:$K$247,MATCH($B39,'Perk Values'!$A$5:$A$247,0),C39+1)</f>
        <v/>
      </c>
      <c r="G39" s="7">
        <f>INDEX('Perk Values'!$L$5:$P$247,MATCH($B39,'Perk Values'!$A$5:$A$247,0),C39+1)</f>
        <v/>
      </c>
      <c r="H39" s="7">
        <f>INDEX('Perk Values'!$D$5:$D$247,MATCH($B39,'Perk Values'!$A$5:$A$247,0))</f>
        <v/>
      </c>
      <c r="I39" s="7" t="inlineStr"/>
    </row>
    <row r="40">
      <c r="A40" s="7" t="inlineStr">
        <is>
          <t>STR</t>
        </is>
      </c>
      <c r="B40" s="7" t="inlineStr">
        <is>
          <t>Pain Train</t>
        </is>
      </c>
      <c r="C40" s="4">
        <f>VLOOKUP($B$4,Presets!$A$5:$IQ$6,30,FALSE)</f>
        <v/>
      </c>
      <c r="D40" s="7">
        <f>INDEX('Perk Values'!$C$5:$C$247,MATCH($B40,'Perk Values'!$A$5:$A$247,0))</f>
        <v/>
      </c>
      <c r="E40" s="7">
        <f>IF(C40&lt;=D40,"OK","exceeds max rank "&amp;D40)</f>
        <v/>
      </c>
      <c r="F40" s="7">
        <f>INDEX('Perk Values'!$G$5:$K$247,MATCH($B40,'Perk Values'!$A$5:$A$247,0),C40+1)</f>
        <v/>
      </c>
      <c r="G40" s="7">
        <f>INDEX('Perk Values'!$L$5:$P$247,MATCH($B40,'Perk Values'!$A$5:$A$247,0),C40+1)</f>
        <v/>
      </c>
      <c r="H40" s="7">
        <f>INDEX('Perk Values'!$D$5:$D$247,MATCH($B40,'Perk Values'!$A$5:$A$247,0))</f>
        <v/>
      </c>
      <c r="I40" s="7" t="inlineStr"/>
    </row>
    <row r="41">
      <c r="A41" s="7" t="inlineStr">
        <is>
          <t>STR</t>
        </is>
      </c>
      <c r="B41" s="7" t="inlineStr">
        <is>
          <t>Portable Power</t>
        </is>
      </c>
      <c r="C41" s="4">
        <f>VLOOKUP($B$4,Presets!$A$5:$IQ$6,31,FALSE)</f>
        <v/>
      </c>
      <c r="D41" s="7">
        <f>INDEX('Perk Values'!$C$5:$C$247,MATCH($B41,'Perk Values'!$A$5:$A$247,0))</f>
        <v/>
      </c>
      <c r="E41" s="7">
        <f>IF(C41&lt;=D41,"OK","exceeds max rank "&amp;D41)</f>
        <v/>
      </c>
      <c r="F41" s="7">
        <f>INDEX('Perk Values'!$G$5:$K$247,MATCH($B41,'Perk Values'!$A$5:$A$247,0),C41+1)</f>
        <v/>
      </c>
      <c r="G41" s="7">
        <f>INDEX('Perk Values'!$L$5:$P$247,MATCH($B41,'Perk Values'!$A$5:$A$247,0),C41+1)</f>
        <v/>
      </c>
      <c r="H41" s="7">
        <f>INDEX('Perk Values'!$D$5:$D$247,MATCH($B41,'Perk Values'!$A$5:$A$247,0))</f>
        <v/>
      </c>
      <c r="I41" s="7" t="inlineStr"/>
    </row>
    <row r="42">
      <c r="A42" s="7" t="inlineStr">
        <is>
          <t>STR</t>
        </is>
      </c>
      <c r="B42" s="7" t="inlineStr">
        <is>
          <t>Scattershot</t>
        </is>
      </c>
      <c r="C42" s="4">
        <f>VLOOKUP($B$4,Presets!$A$5:$IQ$6,32,FALSE)</f>
        <v/>
      </c>
      <c r="D42" s="7">
        <f>INDEX('Perk Values'!$C$5:$C$247,MATCH($B42,'Perk Values'!$A$5:$A$247,0))</f>
        <v/>
      </c>
      <c r="E42" s="7">
        <f>IF(C42&lt;=D42,"OK","exceeds max rank "&amp;D42)</f>
        <v/>
      </c>
      <c r="F42" s="7">
        <f>INDEX('Perk Values'!$G$5:$K$247,MATCH($B42,'Perk Values'!$A$5:$A$247,0),C42+1)</f>
        <v/>
      </c>
      <c r="G42" s="7">
        <f>INDEX('Perk Values'!$L$5:$P$247,MATCH($B42,'Perk Values'!$A$5:$A$247,0),C42+1)</f>
        <v/>
      </c>
      <c r="H42" s="7">
        <f>INDEX('Perk Values'!$D$5:$D$247,MATCH($B42,'Perk Values'!$A$5:$A$247,0))</f>
        <v/>
      </c>
      <c r="I42" s="7" t="inlineStr"/>
    </row>
    <row r="43">
      <c r="A43" s="7" t="inlineStr">
        <is>
          <t>STR</t>
        </is>
      </c>
      <c r="B43" s="7" t="inlineStr">
        <is>
          <t>Shotgun Champ</t>
        </is>
      </c>
      <c r="C43" s="4">
        <f>VLOOKUP($B$4,Presets!$A$5:$IQ$6,33,FALSE)</f>
        <v/>
      </c>
      <c r="D43" s="7">
        <f>INDEX('Perk Values'!$C$5:$C$247,MATCH($B43,'Perk Values'!$A$5:$A$247,0))</f>
        <v/>
      </c>
      <c r="E43" s="7">
        <f>IF(C43&lt;=D43,"OK","exceeds max rank "&amp;D43)</f>
        <v/>
      </c>
      <c r="F43" s="7">
        <f>INDEX('Perk Values'!$G$5:$K$247,MATCH($B43,'Perk Values'!$A$5:$A$247,0),C43+1)</f>
        <v/>
      </c>
      <c r="G43" s="7">
        <f>INDEX('Perk Values'!$L$5:$P$247,MATCH($B43,'Perk Values'!$A$5:$A$247,0),C43+1)</f>
        <v/>
      </c>
      <c r="H43" s="7">
        <f>INDEX('Perk Values'!$D$5:$D$247,MATCH($B43,'Perk Values'!$A$5:$A$247,0))</f>
        <v/>
      </c>
      <c r="I43" s="7" t="inlineStr"/>
    </row>
    <row r="44">
      <c r="A44" s="7" t="inlineStr">
        <is>
          <t>STR</t>
        </is>
      </c>
      <c r="B44" s="7" t="inlineStr">
        <is>
          <t>Slugger</t>
        </is>
      </c>
      <c r="C44" s="4">
        <f>VLOOKUP($B$4,Presets!$A$5:$IQ$6,34,FALSE)</f>
        <v/>
      </c>
      <c r="D44" s="7">
        <f>INDEX('Perk Values'!$C$5:$C$247,MATCH($B44,'Perk Values'!$A$5:$A$247,0))</f>
        <v/>
      </c>
      <c r="E44" s="7">
        <f>IF(C44&lt;=D44,"OK","exceeds max rank "&amp;D44)</f>
        <v/>
      </c>
      <c r="F44" s="7">
        <f>INDEX('Perk Values'!$G$5:$K$247,MATCH($B44,'Perk Values'!$A$5:$A$247,0),C44+1)</f>
        <v/>
      </c>
      <c r="G44" s="7">
        <f>INDEX('Perk Values'!$L$5:$P$247,MATCH($B44,'Perk Values'!$A$5:$A$247,0),C44+1)</f>
        <v/>
      </c>
      <c r="H44" s="7">
        <f>INDEX('Perk Values'!$D$5:$D$247,MATCH($B44,'Perk Values'!$A$5:$A$247,0))</f>
        <v/>
      </c>
      <c r="I44" s="7" t="inlineStr"/>
    </row>
    <row r="45">
      <c r="A45" s="7" t="inlineStr">
        <is>
          <t>STR</t>
        </is>
      </c>
      <c r="B45" s="7" t="inlineStr">
        <is>
          <t>Strong Arm</t>
        </is>
      </c>
      <c r="C45" s="4">
        <f>VLOOKUP($B$4,Presets!$A$5:$IQ$6,35,FALSE)</f>
        <v/>
      </c>
      <c r="D45" s="7">
        <f>INDEX('Perk Values'!$C$5:$C$247,MATCH($B45,'Perk Values'!$A$5:$A$247,0))</f>
        <v/>
      </c>
      <c r="E45" s="7">
        <f>IF(C45&lt;=D45,"OK","exceeds max rank "&amp;D45)</f>
        <v/>
      </c>
      <c r="F45" s="7">
        <f>INDEX('Perk Values'!$G$5:$K$247,MATCH($B45,'Perk Values'!$A$5:$A$247,0),C45+1)</f>
        <v/>
      </c>
      <c r="G45" s="7">
        <f>INDEX('Perk Values'!$L$5:$P$247,MATCH($B45,'Perk Values'!$A$5:$A$247,0),C45+1)</f>
        <v/>
      </c>
      <c r="H45" s="7">
        <f>INDEX('Perk Values'!$D$5:$D$247,MATCH($B45,'Perk Values'!$A$5:$A$247,0))</f>
        <v/>
      </c>
      <c r="I45" s="7" t="inlineStr"/>
    </row>
    <row r="46">
      <c r="A46" s="7" t="inlineStr">
        <is>
          <t>STR</t>
        </is>
      </c>
      <c r="B46" s="7" t="inlineStr">
        <is>
          <t>Strong Back</t>
        </is>
      </c>
      <c r="C46" s="4">
        <f>VLOOKUP($B$4,Presets!$A$5:$IQ$6,36,FALSE)</f>
        <v/>
      </c>
      <c r="D46" s="7">
        <f>INDEX('Perk Values'!$C$5:$C$247,MATCH($B46,'Perk Values'!$A$5:$A$247,0))</f>
        <v/>
      </c>
      <c r="E46" s="7">
        <f>IF(C46&lt;=D46,"OK","exceeds max rank "&amp;D46)</f>
        <v/>
      </c>
      <c r="F46" s="7">
        <f>INDEX('Perk Values'!$G$5:$K$247,MATCH($B46,'Perk Values'!$A$5:$A$247,0),C46+1)</f>
        <v/>
      </c>
      <c r="G46" s="7">
        <f>INDEX('Perk Values'!$L$5:$P$247,MATCH($B46,'Perk Values'!$A$5:$A$247,0),C46+1)</f>
        <v/>
      </c>
      <c r="H46" s="7">
        <f>INDEX('Perk Values'!$D$5:$D$247,MATCH($B46,'Perk Values'!$A$5:$A$247,0))</f>
        <v/>
      </c>
      <c r="I46" s="7" t="inlineStr"/>
    </row>
    <row r="47">
      <c r="A47" s="7" t="inlineStr">
        <is>
          <t>STR</t>
        </is>
      </c>
      <c r="B47" s="7" t="inlineStr">
        <is>
          <t>Sturdy Frame</t>
        </is>
      </c>
      <c r="C47" s="4">
        <f>VLOOKUP($B$4,Presets!$A$5:$IQ$6,37,FALSE)</f>
        <v/>
      </c>
      <c r="D47" s="7">
        <f>INDEX('Perk Values'!$C$5:$C$247,MATCH($B47,'Perk Values'!$A$5:$A$247,0))</f>
        <v/>
      </c>
      <c r="E47" s="7">
        <f>IF(C47&lt;=D47,"OK","exceeds max rank "&amp;D47)</f>
        <v/>
      </c>
      <c r="F47" s="7">
        <f>INDEX('Perk Values'!$G$5:$K$247,MATCH($B47,'Perk Values'!$A$5:$A$247,0),C47+1)</f>
        <v/>
      </c>
      <c r="G47" s="7">
        <f>INDEX('Perk Values'!$L$5:$P$247,MATCH($B47,'Perk Values'!$A$5:$A$247,0),C47+1)</f>
        <v/>
      </c>
      <c r="H47" s="7">
        <f>INDEX('Perk Values'!$D$5:$D$247,MATCH($B47,'Perk Values'!$A$5:$A$247,0))</f>
        <v/>
      </c>
      <c r="I47" s="7" t="inlineStr"/>
    </row>
    <row r="48">
      <c r="A48" s="7" t="inlineStr">
        <is>
          <t>STR</t>
        </is>
      </c>
      <c r="B48" s="7" t="inlineStr">
        <is>
          <t>Tightly Wound</t>
        </is>
      </c>
      <c r="C48" s="4">
        <f>VLOOKUP($B$4,Presets!$A$5:$IQ$6,38,FALSE)</f>
        <v/>
      </c>
      <c r="D48" s="7">
        <f>INDEX('Perk Values'!$C$5:$C$247,MATCH($B48,'Perk Values'!$A$5:$A$247,0))</f>
        <v/>
      </c>
      <c r="E48" s="7">
        <f>IF(C48&lt;=D48,"OK","exceeds max rank "&amp;D48)</f>
        <v/>
      </c>
      <c r="F48" s="7">
        <f>INDEX('Perk Values'!$G$5:$K$247,MATCH($B48,'Perk Values'!$A$5:$A$247,0),C48+1)</f>
        <v/>
      </c>
      <c r="G48" s="7">
        <f>INDEX('Perk Values'!$L$5:$P$247,MATCH($B48,'Perk Values'!$A$5:$A$247,0),C48+1)</f>
        <v/>
      </c>
      <c r="H48" s="7">
        <f>INDEX('Perk Values'!$D$5:$D$247,MATCH($B48,'Perk Values'!$A$5:$A$247,0))</f>
        <v/>
      </c>
      <c r="I48" s="7" t="inlineStr"/>
    </row>
    <row r="49">
      <c r="A49" s="7" t="inlineStr">
        <is>
          <t>STR</t>
        </is>
      </c>
      <c r="B49" s="7" t="inlineStr">
        <is>
          <t>Traveling Pharmacy</t>
        </is>
      </c>
      <c r="C49" s="4">
        <f>VLOOKUP($B$4,Presets!$A$5:$IQ$6,39,FALSE)</f>
        <v/>
      </c>
      <c r="D49" s="7">
        <f>INDEX('Perk Values'!$C$5:$C$247,MATCH($B49,'Perk Values'!$A$5:$A$247,0))</f>
        <v/>
      </c>
      <c r="E49" s="7">
        <f>IF(C49&lt;=D49,"OK","exceeds max rank "&amp;D49)</f>
        <v/>
      </c>
      <c r="F49" s="7">
        <f>INDEX('Perk Values'!$G$5:$K$247,MATCH($B49,'Perk Values'!$A$5:$A$247,0),C49+1)</f>
        <v/>
      </c>
      <c r="G49" s="7">
        <f>INDEX('Perk Values'!$L$5:$P$247,MATCH($B49,'Perk Values'!$A$5:$A$247,0),C49+1)</f>
        <v/>
      </c>
      <c r="H49" s="7">
        <f>INDEX('Perk Values'!$D$5:$D$247,MATCH($B49,'Perk Values'!$A$5:$A$247,0))</f>
        <v/>
      </c>
      <c r="I49" s="7" t="inlineStr"/>
    </row>
    <row r="50">
      <c r="A50" s="7" t="inlineStr">
        <is>
          <t>STR</t>
        </is>
      </c>
      <c r="B50" s="7" t="inlineStr">
        <is>
          <t>Wound Salter</t>
        </is>
      </c>
      <c r="C50" s="4">
        <f>VLOOKUP($B$4,Presets!$A$5:$IQ$6,40,FALSE)</f>
        <v/>
      </c>
      <c r="D50" s="7">
        <f>INDEX('Perk Values'!$C$5:$C$247,MATCH($B50,'Perk Values'!$A$5:$A$247,0))</f>
        <v/>
      </c>
      <c r="E50" s="7">
        <f>IF(C50&lt;=D50,"OK","exceeds max rank "&amp;D50)</f>
        <v/>
      </c>
      <c r="F50" s="7">
        <f>INDEX('Perk Values'!$G$5:$K$247,MATCH($B50,'Perk Values'!$A$5:$A$247,0),C50+1)</f>
        <v/>
      </c>
      <c r="G50" s="7">
        <f>INDEX('Perk Values'!$L$5:$P$247,MATCH($B50,'Perk Values'!$A$5:$A$247,0),C50+1)</f>
        <v/>
      </c>
      <c r="H50" s="7">
        <f>INDEX('Perk Values'!$D$5:$D$247,MATCH($B50,'Perk Values'!$A$5:$A$247,0))</f>
        <v/>
      </c>
      <c r="I50" s="7" t="inlineStr"/>
    </row>
    <row r="51">
      <c r="A51" s="7" t="inlineStr">
        <is>
          <t>STR</t>
        </is>
      </c>
      <c r="B51" s="7" t="inlineStr">
        <is>
          <t>Wrecking Ball</t>
        </is>
      </c>
      <c r="C51" s="4">
        <f>VLOOKUP($B$4,Presets!$A$5:$IQ$6,41,FALSE)</f>
        <v/>
      </c>
      <c r="D51" s="7">
        <f>INDEX('Perk Values'!$C$5:$C$247,MATCH($B51,'Perk Values'!$A$5:$A$247,0))</f>
        <v/>
      </c>
      <c r="E51" s="7">
        <f>IF(C51&lt;=D51,"OK","exceeds max rank "&amp;D51)</f>
        <v/>
      </c>
      <c r="F51" s="7">
        <f>INDEX('Perk Values'!$G$5:$K$247,MATCH($B51,'Perk Values'!$A$5:$A$247,0),C51+1)</f>
        <v/>
      </c>
      <c r="G51" s="7">
        <f>INDEX('Perk Values'!$L$5:$P$247,MATCH($B51,'Perk Values'!$A$5:$A$247,0),C51+1)</f>
        <v/>
      </c>
      <c r="H51" s="7">
        <f>INDEX('Perk Values'!$D$5:$D$247,MATCH($B51,'Perk Values'!$A$5:$A$247,0))</f>
        <v/>
      </c>
      <c r="I51" s="7" t="inlineStr"/>
    </row>
    <row r="52">
      <c r="A52" s="7" t="inlineStr">
        <is>
          <t>STR</t>
        </is>
      </c>
      <c r="B52" s="7" t="inlineStr">
        <is>
          <t>Arms of Steel</t>
        </is>
      </c>
      <c r="C52" s="4">
        <f>VLOOKUP($B$4,Presets!$A$5:$IQ$6,42,FALSE)</f>
        <v/>
      </c>
      <c r="D52" s="7">
        <f>INDEX('Perk Values'!$C$5:$C$247,MATCH($B52,'Perk Values'!$A$5:$A$247,0))</f>
        <v/>
      </c>
      <c r="E52" s="7">
        <f>IF(C52&lt;=D52,"OK","exceeds max rank "&amp;D52)</f>
        <v/>
      </c>
      <c r="F52" s="7">
        <f>INDEX('Perk Values'!$G$5:$K$247,MATCH($B52,'Perk Values'!$A$5:$A$247,0),C52+1)</f>
        <v/>
      </c>
      <c r="G52" s="7">
        <f>INDEX('Perk Values'!$L$5:$P$247,MATCH($B52,'Perk Values'!$A$5:$A$247,0),C52+1)</f>
        <v/>
      </c>
      <c r="H52" s="7">
        <f>INDEX('Perk Values'!$D$5:$D$247,MATCH($B52,'Perk Values'!$A$5:$A$247,0))</f>
        <v/>
      </c>
      <c r="I52" s="7" t="inlineStr"/>
    </row>
    <row r="53">
      <c r="A53" s="7" t="inlineStr">
        <is>
          <t>STR</t>
        </is>
      </c>
      <c r="B53" s="7" t="inlineStr">
        <is>
          <t>Bone Shatterer</t>
        </is>
      </c>
      <c r="C53" s="4">
        <f>VLOOKUP($B$4,Presets!$A$5:$IQ$6,43,FALSE)</f>
        <v/>
      </c>
      <c r="D53" s="7">
        <f>INDEX('Perk Values'!$C$5:$C$247,MATCH($B53,'Perk Values'!$A$5:$A$247,0))</f>
        <v/>
      </c>
      <c r="E53" s="7">
        <f>IF(C53&lt;=D53,"OK","exceeds max rank "&amp;D53)</f>
        <v/>
      </c>
      <c r="F53" s="7">
        <f>INDEX('Perk Values'!$G$5:$K$247,MATCH($B53,'Perk Values'!$A$5:$A$247,0),C53+1)</f>
        <v/>
      </c>
      <c r="G53" s="7">
        <f>INDEX('Perk Values'!$L$5:$P$247,MATCH($B53,'Perk Values'!$A$5:$A$247,0),C53+1)</f>
        <v/>
      </c>
      <c r="H53" s="7">
        <f>INDEX('Perk Values'!$D$5:$D$247,MATCH($B53,'Perk Values'!$A$5:$A$247,0))</f>
        <v/>
      </c>
      <c r="I53" s="7" t="inlineStr"/>
    </row>
    <row r="54">
      <c r="A54" s="7" t="inlineStr">
        <is>
          <t>STR</t>
        </is>
      </c>
      <c r="B54" s="7" t="inlineStr">
        <is>
          <t>Brick Wall</t>
        </is>
      </c>
      <c r="C54" s="4">
        <f>VLOOKUP($B$4,Presets!$A$5:$IQ$6,44,FALSE)</f>
        <v/>
      </c>
      <c r="D54" s="7">
        <f>INDEX('Perk Values'!$C$5:$C$247,MATCH($B54,'Perk Values'!$A$5:$A$247,0))</f>
        <v/>
      </c>
      <c r="E54" s="7">
        <f>IF(C54&lt;=D54,"OK","exceeds max rank "&amp;D54)</f>
        <v/>
      </c>
      <c r="F54" s="7">
        <f>INDEX('Perk Values'!$G$5:$K$247,MATCH($B54,'Perk Values'!$A$5:$A$247,0),C54+1)</f>
        <v/>
      </c>
      <c r="G54" s="7">
        <f>INDEX('Perk Values'!$L$5:$P$247,MATCH($B54,'Perk Values'!$A$5:$A$247,0),C54+1)</f>
        <v/>
      </c>
      <c r="H54" s="7">
        <f>INDEX('Perk Values'!$D$5:$D$247,MATCH($B54,'Perk Values'!$A$5:$A$247,0))</f>
        <v/>
      </c>
      <c r="I54" s="7" t="inlineStr"/>
    </row>
    <row r="55">
      <c r="A55" s="7" t="inlineStr">
        <is>
          <t>STR</t>
        </is>
      </c>
      <c r="B55" s="7" t="inlineStr">
        <is>
          <t>Radioactive Strength</t>
        </is>
      </c>
      <c r="C55" s="4">
        <f>VLOOKUP($B$4,Presets!$A$5:$IQ$6,45,FALSE)</f>
        <v/>
      </c>
      <c r="D55" s="7">
        <f>INDEX('Perk Values'!$C$5:$C$247,MATCH($B55,'Perk Values'!$A$5:$A$247,0))</f>
        <v/>
      </c>
      <c r="E55" s="7">
        <f>IF(C55&lt;=D55,"OK","exceeds max rank "&amp;D55)</f>
        <v/>
      </c>
      <c r="F55" s="7">
        <f>INDEX('Perk Values'!$G$5:$K$247,MATCH($B55,'Perk Values'!$A$5:$A$247,0),C55+1)</f>
        <v/>
      </c>
      <c r="G55" s="7">
        <f>INDEX('Perk Values'!$L$5:$P$247,MATCH($B55,'Perk Values'!$A$5:$A$247,0),C55+1)</f>
        <v/>
      </c>
      <c r="H55" s="7">
        <f>INDEX('Perk Values'!$D$5:$D$247,MATCH($B55,'Perk Values'!$A$5:$A$247,0))</f>
        <v/>
      </c>
      <c r="I55" s="7" t="inlineStr"/>
    </row>
    <row r="56">
      <c r="A56" s="7" t="inlineStr">
        <is>
          <t>PER</t>
        </is>
      </c>
      <c r="B56" s="7" t="inlineStr">
        <is>
          <t>Awareness</t>
        </is>
      </c>
      <c r="C56" s="4">
        <f>VLOOKUP($B$4,Presets!$A$5:$IQ$6,46,FALSE)</f>
        <v/>
      </c>
      <c r="D56" s="7">
        <f>INDEX('Perk Values'!$C$5:$C$247,MATCH($B56,'Perk Values'!$A$5:$A$247,0))</f>
        <v/>
      </c>
      <c r="E56" s="7">
        <f>IF(C56&lt;=D56,"OK","exceeds max rank "&amp;D56)</f>
        <v/>
      </c>
      <c r="F56" s="7">
        <f>INDEX('Perk Values'!$G$5:$K$247,MATCH($B56,'Perk Values'!$A$5:$A$247,0),C56+1)</f>
        <v/>
      </c>
      <c r="G56" s="7">
        <f>INDEX('Perk Values'!$L$5:$P$247,MATCH($B56,'Perk Values'!$A$5:$A$247,0),C56+1)</f>
        <v/>
      </c>
      <c r="H56" s="7">
        <f>INDEX('Perk Values'!$D$5:$D$247,MATCH($B56,'Perk Values'!$A$5:$A$247,0))</f>
        <v/>
      </c>
      <c r="I56" s="7" t="inlineStr"/>
    </row>
    <row r="57">
      <c r="A57" s="7" t="inlineStr">
        <is>
          <t>PER</t>
        </is>
      </c>
      <c r="B57" s="7" t="inlineStr">
        <is>
          <t>Bow Before Me</t>
        </is>
      </c>
      <c r="C57" s="4">
        <f>VLOOKUP($B$4,Presets!$A$5:$IQ$6,47,FALSE)</f>
        <v/>
      </c>
      <c r="D57" s="7">
        <f>INDEX('Perk Values'!$C$5:$C$247,MATCH($B57,'Perk Values'!$A$5:$A$247,0))</f>
        <v/>
      </c>
      <c r="E57" s="7">
        <f>IF(C57&lt;=D57,"OK","exceeds max rank "&amp;D57)</f>
        <v/>
      </c>
      <c r="F57" s="7">
        <f>INDEX('Perk Values'!$G$5:$K$247,MATCH($B57,'Perk Values'!$A$5:$A$247,0),C57+1)</f>
        <v/>
      </c>
      <c r="G57" s="7">
        <f>INDEX('Perk Values'!$L$5:$P$247,MATCH($B57,'Perk Values'!$A$5:$A$247,0),C57+1)</f>
        <v/>
      </c>
      <c r="H57" s="7">
        <f>INDEX('Perk Values'!$D$5:$D$247,MATCH($B57,'Perk Values'!$A$5:$A$247,0))</f>
        <v/>
      </c>
      <c r="I57" s="7" t="inlineStr"/>
    </row>
    <row r="58">
      <c r="A58" s="7" t="inlineStr">
        <is>
          <t>PER</t>
        </is>
      </c>
      <c r="B58" s="7" t="inlineStr">
        <is>
          <t>Butcher's Bounty</t>
        </is>
      </c>
      <c r="C58" s="4">
        <f>VLOOKUP($B$4,Presets!$A$5:$IQ$6,48,FALSE)</f>
        <v/>
      </c>
      <c r="D58" s="7">
        <f>INDEX('Perk Values'!$C$5:$C$247,MATCH($B58,'Perk Values'!$A$5:$A$247,0))</f>
        <v/>
      </c>
      <c r="E58" s="7">
        <f>IF(C58&lt;=D58,"OK","exceeds max rank "&amp;D58)</f>
        <v/>
      </c>
      <c r="F58" s="7">
        <f>INDEX('Perk Values'!$G$5:$K$247,MATCH($B58,'Perk Values'!$A$5:$A$247,0),C58+1)</f>
        <v/>
      </c>
      <c r="G58" s="7">
        <f>INDEX('Perk Values'!$L$5:$P$247,MATCH($B58,'Perk Values'!$A$5:$A$247,0),C58+1)</f>
        <v/>
      </c>
      <c r="H58" s="7">
        <f>INDEX('Perk Values'!$D$5:$D$247,MATCH($B58,'Perk Values'!$A$5:$A$247,0))</f>
        <v/>
      </c>
      <c r="I58" s="7" t="inlineStr"/>
    </row>
    <row r="59">
      <c r="A59" s="7" t="inlineStr">
        <is>
          <t>PER</t>
        </is>
      </c>
      <c r="B59" s="7" t="inlineStr">
        <is>
          <t>Center Masochist</t>
        </is>
      </c>
      <c r="C59" s="4">
        <f>VLOOKUP($B$4,Presets!$A$5:$IQ$6,49,FALSE)</f>
        <v/>
      </c>
      <c r="D59" s="7">
        <f>INDEX('Perk Values'!$C$5:$C$247,MATCH($B59,'Perk Values'!$A$5:$A$247,0))</f>
        <v/>
      </c>
      <c r="E59" s="7">
        <f>IF(C59&lt;=D59,"OK","exceeds max rank "&amp;D59)</f>
        <v/>
      </c>
      <c r="F59" s="7">
        <f>INDEX('Perk Values'!$G$5:$K$247,MATCH($B59,'Perk Values'!$A$5:$A$247,0),C59+1)</f>
        <v/>
      </c>
      <c r="G59" s="7">
        <f>INDEX('Perk Values'!$L$5:$P$247,MATCH($B59,'Perk Values'!$A$5:$A$247,0),C59+1)</f>
        <v/>
      </c>
      <c r="H59" s="7">
        <f>INDEX('Perk Values'!$D$5:$D$247,MATCH($B59,'Perk Values'!$A$5:$A$247,0))</f>
        <v/>
      </c>
      <c r="I59" s="7" t="inlineStr"/>
    </row>
    <row r="60">
      <c r="A60" s="7" t="inlineStr">
        <is>
          <t>PER</t>
        </is>
      </c>
      <c r="B60" s="7" t="inlineStr">
        <is>
          <t>Concentrated Fire</t>
        </is>
      </c>
      <c r="C60" s="4">
        <f>VLOOKUP($B$4,Presets!$A$5:$IQ$6,50,FALSE)</f>
        <v/>
      </c>
      <c r="D60" s="7">
        <f>INDEX('Perk Values'!$C$5:$C$247,MATCH($B60,'Perk Values'!$A$5:$A$247,0))</f>
        <v/>
      </c>
      <c r="E60" s="7">
        <f>IF(C60&lt;=D60,"OK","exceeds max rank "&amp;D60)</f>
        <v/>
      </c>
      <c r="F60" s="7">
        <f>INDEX('Perk Values'!$G$5:$K$247,MATCH($B60,'Perk Values'!$A$5:$A$247,0),C60+1)</f>
        <v/>
      </c>
      <c r="G60" s="7">
        <f>INDEX('Perk Values'!$L$5:$P$247,MATCH($B60,'Perk Values'!$A$5:$A$247,0),C60+1)</f>
        <v/>
      </c>
      <c r="H60" s="7">
        <f>INDEX('Perk Values'!$D$5:$D$247,MATCH($B60,'Perk Values'!$A$5:$A$247,0))</f>
        <v/>
      </c>
      <c r="I60" s="7" t="inlineStr"/>
    </row>
    <row r="61">
      <c r="A61" s="7" t="inlineStr">
        <is>
          <t>PER</t>
        </is>
      </c>
      <c r="B61" s="7" t="inlineStr">
        <is>
          <t>Crack Shot</t>
        </is>
      </c>
      <c r="C61" s="4">
        <f>VLOOKUP($B$4,Presets!$A$5:$IQ$6,51,FALSE)</f>
        <v/>
      </c>
      <c r="D61" s="7">
        <f>INDEX('Perk Values'!$C$5:$C$247,MATCH($B61,'Perk Values'!$A$5:$A$247,0))</f>
        <v/>
      </c>
      <c r="E61" s="7">
        <f>IF(C61&lt;=D61,"OK","exceeds max rank "&amp;D61)</f>
        <v/>
      </c>
      <c r="F61" s="7">
        <f>INDEX('Perk Values'!$G$5:$K$247,MATCH($B61,'Perk Values'!$A$5:$A$247,0),C61+1)</f>
        <v/>
      </c>
      <c r="G61" s="7">
        <f>INDEX('Perk Values'!$L$5:$P$247,MATCH($B61,'Perk Values'!$A$5:$A$247,0),C61+1)</f>
        <v/>
      </c>
      <c r="H61" s="7">
        <f>INDEX('Perk Values'!$D$5:$D$247,MATCH($B61,'Perk Values'!$A$5:$A$247,0))</f>
        <v/>
      </c>
      <c r="I61" s="7" t="inlineStr"/>
    </row>
    <row r="62">
      <c r="A62" s="7" t="inlineStr">
        <is>
          <t>PER</t>
        </is>
      </c>
      <c r="B62" s="7" t="inlineStr">
        <is>
          <t>Deal Sealer</t>
        </is>
      </c>
      <c r="C62" s="4">
        <f>VLOOKUP($B$4,Presets!$A$5:$IQ$6,52,FALSE)</f>
        <v/>
      </c>
      <c r="D62" s="7">
        <f>INDEX('Perk Values'!$C$5:$C$247,MATCH($B62,'Perk Values'!$A$5:$A$247,0))</f>
        <v/>
      </c>
      <c r="E62" s="7">
        <f>IF(C62&lt;=D62,"OK","exceeds max rank "&amp;D62)</f>
        <v/>
      </c>
      <c r="F62" s="7">
        <f>INDEX('Perk Values'!$G$5:$K$247,MATCH($B62,'Perk Values'!$A$5:$A$247,0),C62+1)</f>
        <v/>
      </c>
      <c r="G62" s="7">
        <f>INDEX('Perk Values'!$L$5:$P$247,MATCH($B62,'Perk Values'!$A$5:$A$247,0),C62+1)</f>
        <v/>
      </c>
      <c r="H62" s="7">
        <f>INDEX('Perk Values'!$D$5:$D$247,MATCH($B62,'Perk Values'!$A$5:$A$247,0))</f>
        <v/>
      </c>
      <c r="I62" s="7" t="inlineStr"/>
    </row>
    <row r="63">
      <c r="A63" s="7" t="inlineStr">
        <is>
          <t>PER</t>
        </is>
      </c>
      <c r="B63" s="7" t="inlineStr">
        <is>
          <t>Down Ranger</t>
        </is>
      </c>
      <c r="C63" s="4">
        <f>VLOOKUP($B$4,Presets!$A$5:$IQ$6,53,FALSE)</f>
        <v/>
      </c>
      <c r="D63" s="7">
        <f>INDEX('Perk Values'!$C$5:$C$247,MATCH($B63,'Perk Values'!$A$5:$A$247,0))</f>
        <v/>
      </c>
      <c r="E63" s="7">
        <f>IF(C63&lt;=D63,"OK","exceeds max rank "&amp;D63)</f>
        <v/>
      </c>
      <c r="F63" s="7">
        <f>INDEX('Perk Values'!$G$5:$K$247,MATCH($B63,'Perk Values'!$A$5:$A$247,0),C63+1)</f>
        <v/>
      </c>
      <c r="G63" s="7">
        <f>INDEX('Perk Values'!$L$5:$P$247,MATCH($B63,'Perk Values'!$A$5:$A$247,0),C63+1)</f>
        <v/>
      </c>
      <c r="H63" s="7">
        <f>INDEX('Perk Values'!$D$5:$D$247,MATCH($B63,'Perk Values'!$A$5:$A$247,0))</f>
        <v/>
      </c>
      <c r="I63" s="7" t="inlineStr"/>
    </row>
    <row r="64">
      <c r="A64" s="7" t="inlineStr">
        <is>
          <t>PER</t>
        </is>
      </c>
      <c r="B64" s="7" t="inlineStr">
        <is>
          <t>Expert Picklock</t>
        </is>
      </c>
      <c r="C64" s="4">
        <f>VLOOKUP($B$4,Presets!$A$5:$IQ$6,54,FALSE)</f>
        <v/>
      </c>
      <c r="D64" s="7">
        <f>INDEX('Perk Values'!$C$5:$C$247,MATCH($B64,'Perk Values'!$A$5:$A$247,0))</f>
        <v/>
      </c>
      <c r="E64" s="7">
        <f>IF(C64&lt;=D64,"OK","exceeds max rank "&amp;D64)</f>
        <v/>
      </c>
      <c r="F64" s="7">
        <f>INDEX('Perk Values'!$G$5:$K$247,MATCH($B64,'Perk Values'!$A$5:$A$247,0),C64+1)</f>
        <v/>
      </c>
      <c r="G64" s="7">
        <f>INDEX('Perk Values'!$L$5:$P$247,MATCH($B64,'Perk Values'!$A$5:$A$247,0),C64+1)</f>
        <v/>
      </c>
      <c r="H64" s="7">
        <f>INDEX('Perk Values'!$D$5:$D$247,MATCH($B64,'Perk Values'!$A$5:$A$247,0))</f>
        <v/>
      </c>
      <c r="I64" s="7" t="inlineStr"/>
    </row>
    <row r="65">
      <c r="A65" s="7" t="inlineStr">
        <is>
          <t>PER</t>
        </is>
      </c>
      <c r="B65" s="7" t="inlineStr">
        <is>
          <t>Exterminator</t>
        </is>
      </c>
      <c r="C65" s="4">
        <f>VLOOKUP($B$4,Presets!$A$5:$IQ$6,55,FALSE)</f>
        <v/>
      </c>
      <c r="D65" s="7">
        <f>INDEX('Perk Values'!$C$5:$C$247,MATCH($B65,'Perk Values'!$A$5:$A$247,0))</f>
        <v/>
      </c>
      <c r="E65" s="7">
        <f>IF(C65&lt;=D65,"OK","exceeds max rank "&amp;D65)</f>
        <v/>
      </c>
      <c r="F65" s="7">
        <f>INDEX('Perk Values'!$G$5:$K$247,MATCH($B65,'Perk Values'!$A$5:$A$247,0),C65+1)</f>
        <v/>
      </c>
      <c r="G65" s="7">
        <f>INDEX('Perk Values'!$L$5:$P$247,MATCH($B65,'Perk Values'!$A$5:$A$247,0),C65+1)</f>
        <v/>
      </c>
      <c r="H65" s="7">
        <f>INDEX('Perk Values'!$D$5:$D$247,MATCH($B65,'Perk Values'!$A$5:$A$247,0))</f>
        <v/>
      </c>
      <c r="I65" s="7" t="inlineStr"/>
    </row>
    <row r="66">
      <c r="A66" s="7" t="inlineStr">
        <is>
          <t>PER</t>
        </is>
      </c>
      <c r="B66" s="7" t="inlineStr">
        <is>
          <t>Fast Fighter</t>
        </is>
      </c>
      <c r="C66" s="4">
        <f>VLOOKUP($B$4,Presets!$A$5:$IQ$6,56,FALSE)</f>
        <v/>
      </c>
      <c r="D66" s="7">
        <f>INDEX('Perk Values'!$C$5:$C$247,MATCH($B66,'Perk Values'!$A$5:$A$247,0))</f>
        <v/>
      </c>
      <c r="E66" s="7">
        <f>IF(C66&lt;=D66,"OK","exceeds max rank "&amp;D66)</f>
        <v/>
      </c>
      <c r="F66" s="7">
        <f>INDEX('Perk Values'!$G$5:$K$247,MATCH($B66,'Perk Values'!$A$5:$A$247,0),C66+1)</f>
        <v/>
      </c>
      <c r="G66" s="7">
        <f>INDEX('Perk Values'!$L$5:$P$247,MATCH($B66,'Perk Values'!$A$5:$A$247,0),C66+1)</f>
        <v/>
      </c>
      <c r="H66" s="7">
        <f>INDEX('Perk Values'!$D$5:$D$247,MATCH($B66,'Perk Values'!$A$5:$A$247,0))</f>
        <v/>
      </c>
      <c r="I66" s="7" t="inlineStr"/>
    </row>
    <row r="67">
      <c r="A67" s="7" t="inlineStr">
        <is>
          <t>PER</t>
        </is>
      </c>
      <c r="B67" s="7" t="inlineStr">
        <is>
          <t>Fortune Finder</t>
        </is>
      </c>
      <c r="C67" s="4">
        <f>VLOOKUP($B$4,Presets!$A$5:$IQ$6,57,FALSE)</f>
        <v/>
      </c>
      <c r="D67" s="7">
        <f>INDEX('Perk Values'!$C$5:$C$247,MATCH($B67,'Perk Values'!$A$5:$A$247,0))</f>
        <v/>
      </c>
      <c r="E67" s="7">
        <f>IF(C67&lt;=D67,"OK","exceeds max rank "&amp;D67)</f>
        <v/>
      </c>
      <c r="F67" s="7">
        <f>INDEX('Perk Values'!$G$5:$K$247,MATCH($B67,'Perk Values'!$A$5:$A$247,0),C67+1)</f>
        <v/>
      </c>
      <c r="G67" s="7">
        <f>INDEX('Perk Values'!$L$5:$P$247,MATCH($B67,'Perk Values'!$A$5:$A$247,0),C67+1)</f>
        <v/>
      </c>
      <c r="H67" s="7">
        <f>INDEX('Perk Values'!$D$5:$D$247,MATCH($B67,'Perk Values'!$A$5:$A$247,0))</f>
        <v/>
      </c>
      <c r="I67" s="7" t="inlineStr"/>
    </row>
    <row r="68">
      <c r="A68" s="7" t="inlineStr">
        <is>
          <t>PER</t>
        </is>
      </c>
      <c r="B68" s="7" t="inlineStr">
        <is>
          <t>Glow Sight</t>
        </is>
      </c>
      <c r="C68" s="4">
        <f>VLOOKUP($B$4,Presets!$A$5:$IQ$6,58,FALSE)</f>
        <v/>
      </c>
      <c r="D68" s="7">
        <f>INDEX('Perk Values'!$C$5:$C$247,MATCH($B68,'Perk Values'!$A$5:$A$247,0))</f>
        <v/>
      </c>
      <c r="E68" s="7">
        <f>IF(C68&lt;=D68,"OK","exceeds max rank "&amp;D68)</f>
        <v/>
      </c>
      <c r="F68" s="7">
        <f>INDEX('Perk Values'!$G$5:$K$247,MATCH($B68,'Perk Values'!$A$5:$A$247,0),C68+1)</f>
        <v/>
      </c>
      <c r="G68" s="7">
        <f>INDEX('Perk Values'!$L$5:$P$247,MATCH($B68,'Perk Values'!$A$5:$A$247,0),C68+1)</f>
        <v/>
      </c>
      <c r="H68" s="7">
        <f>INDEX('Perk Values'!$D$5:$D$247,MATCH($B68,'Perk Values'!$A$5:$A$247,0))</f>
        <v/>
      </c>
      <c r="I68" s="7" t="inlineStr"/>
    </row>
    <row r="69">
      <c r="A69" s="7" t="inlineStr">
        <is>
          <t>PER</t>
        </is>
      </c>
      <c r="B69" s="7" t="inlineStr">
        <is>
          <t>Green Thumb</t>
        </is>
      </c>
      <c r="C69" s="4">
        <f>VLOOKUP($B$4,Presets!$A$5:$IQ$6,59,FALSE)</f>
        <v/>
      </c>
      <c r="D69" s="7">
        <f>INDEX('Perk Values'!$C$5:$C$247,MATCH($B69,'Perk Values'!$A$5:$A$247,0))</f>
        <v/>
      </c>
      <c r="E69" s="7">
        <f>IF(C69&lt;=D69,"OK","exceeds max rank "&amp;D69)</f>
        <v/>
      </c>
      <c r="F69" s="7">
        <f>INDEX('Perk Values'!$G$5:$K$247,MATCH($B69,'Perk Values'!$A$5:$A$247,0),C69+1)</f>
        <v/>
      </c>
      <c r="G69" s="7">
        <f>INDEX('Perk Values'!$L$5:$P$247,MATCH($B69,'Perk Values'!$A$5:$A$247,0),C69+1)</f>
        <v/>
      </c>
      <c r="H69" s="7">
        <f>INDEX('Perk Values'!$D$5:$D$247,MATCH($B69,'Perk Values'!$A$5:$A$247,0))</f>
        <v/>
      </c>
      <c r="I69" s="7" t="inlineStr"/>
    </row>
    <row r="70">
      <c r="A70" s="7" t="inlineStr">
        <is>
          <t>PER</t>
        </is>
      </c>
      <c r="B70" s="7" t="inlineStr">
        <is>
          <t>Grenadier</t>
        </is>
      </c>
      <c r="C70" s="4">
        <f>VLOOKUP($B$4,Presets!$A$5:$IQ$6,60,FALSE)</f>
        <v/>
      </c>
      <c r="D70" s="7">
        <f>INDEX('Perk Values'!$C$5:$C$247,MATCH($B70,'Perk Values'!$A$5:$A$247,0))</f>
        <v/>
      </c>
      <c r="E70" s="7">
        <f>IF(C70&lt;=D70,"OK","exceeds max rank "&amp;D70)</f>
        <v/>
      </c>
      <c r="F70" s="7">
        <f>INDEX('Perk Values'!$G$5:$K$247,MATCH($B70,'Perk Values'!$A$5:$A$247,0),C70+1)</f>
        <v/>
      </c>
      <c r="G70" s="7">
        <f>INDEX('Perk Values'!$L$5:$P$247,MATCH($B70,'Perk Values'!$A$5:$A$247,0),C70+1)</f>
        <v/>
      </c>
      <c r="H70" s="7">
        <f>INDEX('Perk Values'!$D$5:$D$247,MATCH($B70,'Perk Values'!$A$5:$A$247,0))</f>
        <v/>
      </c>
      <c r="I70" s="7" t="inlineStr"/>
    </row>
    <row r="71">
      <c r="A71" s="7" t="inlineStr">
        <is>
          <t>PER</t>
        </is>
      </c>
      <c r="B71" s="7" t="inlineStr">
        <is>
          <t>Ground Pounder</t>
        </is>
      </c>
      <c r="C71" s="4">
        <f>VLOOKUP($B$4,Presets!$A$5:$IQ$6,61,FALSE)</f>
        <v/>
      </c>
      <c r="D71" s="7">
        <f>INDEX('Perk Values'!$C$5:$C$247,MATCH($B71,'Perk Values'!$A$5:$A$247,0))</f>
        <v/>
      </c>
      <c r="E71" s="7">
        <f>IF(C71&lt;=D71,"OK","exceeds max rank "&amp;D71)</f>
        <v/>
      </c>
      <c r="F71" s="7">
        <f>INDEX('Perk Values'!$G$5:$K$247,MATCH($B71,'Perk Values'!$A$5:$A$247,0),C71+1)</f>
        <v/>
      </c>
      <c r="G71" s="7">
        <f>INDEX('Perk Values'!$L$5:$P$247,MATCH($B71,'Perk Values'!$A$5:$A$247,0),C71+1)</f>
        <v/>
      </c>
      <c r="H71" s="7">
        <f>INDEX('Perk Values'!$D$5:$D$247,MATCH($B71,'Perk Values'!$A$5:$A$247,0))</f>
        <v/>
      </c>
      <c r="I71" s="7" t="inlineStr"/>
    </row>
    <row r="72">
      <c r="A72" s="7" t="inlineStr">
        <is>
          <t>PER</t>
        </is>
      </c>
      <c r="B72" s="7" t="inlineStr">
        <is>
          <t>Hat Trick</t>
        </is>
      </c>
      <c r="C72" s="4">
        <f>VLOOKUP($B$4,Presets!$A$5:$IQ$6,62,FALSE)</f>
        <v/>
      </c>
      <c r="D72" s="7">
        <f>INDEX('Perk Values'!$C$5:$C$247,MATCH($B72,'Perk Values'!$A$5:$A$247,0))</f>
        <v/>
      </c>
      <c r="E72" s="7">
        <f>IF(C72&lt;=D72,"OK","exceeds max rank "&amp;D72)</f>
        <v/>
      </c>
      <c r="F72" s="7">
        <f>INDEX('Perk Values'!$G$5:$K$247,MATCH($B72,'Perk Values'!$A$5:$A$247,0),C72+1)</f>
        <v/>
      </c>
      <c r="G72" s="7">
        <f>INDEX('Perk Values'!$L$5:$P$247,MATCH($B72,'Perk Values'!$A$5:$A$247,0),C72+1)</f>
        <v/>
      </c>
      <c r="H72" s="7">
        <f>INDEX('Perk Values'!$D$5:$D$247,MATCH($B72,'Perk Values'!$A$5:$A$247,0))</f>
        <v/>
      </c>
      <c r="I72" s="7" t="inlineStr"/>
    </row>
    <row r="73">
      <c r="A73" s="7" t="inlineStr">
        <is>
          <t>PER</t>
        </is>
      </c>
      <c r="B73" s="7" t="inlineStr">
        <is>
          <t>Long Shot</t>
        </is>
      </c>
      <c r="C73" s="4">
        <f>VLOOKUP($B$4,Presets!$A$5:$IQ$6,63,FALSE)</f>
        <v/>
      </c>
      <c r="D73" s="7">
        <f>INDEX('Perk Values'!$C$5:$C$247,MATCH($B73,'Perk Values'!$A$5:$A$247,0))</f>
        <v/>
      </c>
      <c r="E73" s="7">
        <f>IF(C73&lt;=D73,"OK","exceeds max rank "&amp;D73)</f>
        <v/>
      </c>
      <c r="F73" s="7">
        <f>INDEX('Perk Values'!$G$5:$K$247,MATCH($B73,'Perk Values'!$A$5:$A$247,0),C73+1)</f>
        <v/>
      </c>
      <c r="G73" s="7">
        <f>INDEX('Perk Values'!$L$5:$P$247,MATCH($B73,'Perk Values'!$A$5:$A$247,0),C73+1)</f>
        <v/>
      </c>
      <c r="H73" s="7">
        <f>INDEX('Perk Values'!$D$5:$D$247,MATCH($B73,'Perk Values'!$A$5:$A$247,0))</f>
        <v/>
      </c>
      <c r="I73" s="7" t="inlineStr"/>
    </row>
    <row r="74">
      <c r="A74" s="7" t="inlineStr">
        <is>
          <t>PER</t>
        </is>
      </c>
      <c r="B74" s="7" t="inlineStr">
        <is>
          <t>Master Archer</t>
        </is>
      </c>
      <c r="C74" s="4">
        <f>VLOOKUP($B$4,Presets!$A$5:$IQ$6,64,FALSE)</f>
        <v/>
      </c>
      <c r="D74" s="7">
        <f>INDEX('Perk Values'!$C$5:$C$247,MATCH($B74,'Perk Values'!$A$5:$A$247,0))</f>
        <v/>
      </c>
      <c r="E74" s="7">
        <f>IF(C74&lt;=D74,"OK","exceeds max rank "&amp;D74)</f>
        <v/>
      </c>
      <c r="F74" s="7">
        <f>INDEX('Perk Values'!$G$5:$K$247,MATCH($B74,'Perk Values'!$A$5:$A$247,0),C74+1)</f>
        <v/>
      </c>
      <c r="G74" s="7">
        <f>INDEX('Perk Values'!$L$5:$P$247,MATCH($B74,'Perk Values'!$A$5:$A$247,0),C74+1)</f>
        <v/>
      </c>
      <c r="H74" s="7">
        <f>INDEX('Perk Values'!$D$5:$D$247,MATCH($B74,'Perk Values'!$A$5:$A$247,0))</f>
        <v/>
      </c>
      <c r="I74" s="7" t="inlineStr"/>
    </row>
    <row r="75">
      <c r="A75" s="7" t="inlineStr">
        <is>
          <t>PER</t>
        </is>
      </c>
      <c r="B75" s="7" t="inlineStr">
        <is>
          <t>Master Picklock</t>
        </is>
      </c>
      <c r="C75" s="4">
        <f>VLOOKUP($B$4,Presets!$A$5:$IQ$6,65,FALSE)</f>
        <v/>
      </c>
      <c r="D75" s="7">
        <f>INDEX('Perk Values'!$C$5:$C$247,MATCH($B75,'Perk Values'!$A$5:$A$247,0))</f>
        <v/>
      </c>
      <c r="E75" s="7">
        <f>IF(C75&lt;=D75,"OK","exceeds max rank "&amp;D75)</f>
        <v/>
      </c>
      <c r="F75" s="7">
        <f>INDEX('Perk Values'!$G$5:$K$247,MATCH($B75,'Perk Values'!$A$5:$A$247,0),C75+1)</f>
        <v/>
      </c>
      <c r="G75" s="7">
        <f>INDEX('Perk Values'!$L$5:$P$247,MATCH($B75,'Perk Values'!$A$5:$A$247,0),C75+1)</f>
        <v/>
      </c>
      <c r="H75" s="7">
        <f>INDEX('Perk Values'!$D$5:$D$247,MATCH($B75,'Perk Values'!$A$5:$A$247,0))</f>
        <v/>
      </c>
      <c r="I75" s="7" t="inlineStr"/>
    </row>
    <row r="76">
      <c r="A76" s="7" t="inlineStr">
        <is>
          <t>PER</t>
        </is>
      </c>
      <c r="B76" s="7" t="inlineStr">
        <is>
          <t>Night Eyes</t>
        </is>
      </c>
      <c r="C76" s="4">
        <f>VLOOKUP($B$4,Presets!$A$5:$IQ$6,66,FALSE)</f>
        <v/>
      </c>
      <c r="D76" s="7">
        <f>INDEX('Perk Values'!$C$5:$C$247,MATCH($B76,'Perk Values'!$A$5:$A$247,0))</f>
        <v/>
      </c>
      <c r="E76" s="7">
        <f>IF(C76&lt;=D76,"OK","exceeds max rank "&amp;D76)</f>
        <v/>
      </c>
      <c r="F76" s="7">
        <f>INDEX('Perk Values'!$G$5:$K$247,MATCH($B76,'Perk Values'!$A$5:$A$247,0),C76+1)</f>
        <v/>
      </c>
      <c r="G76" s="7">
        <f>INDEX('Perk Values'!$L$5:$P$247,MATCH($B76,'Perk Values'!$A$5:$A$247,0),C76+1)</f>
        <v/>
      </c>
      <c r="H76" s="7">
        <f>INDEX('Perk Values'!$D$5:$D$247,MATCH($B76,'Perk Values'!$A$5:$A$247,0))</f>
        <v/>
      </c>
      <c r="I76" s="7" t="inlineStr"/>
    </row>
    <row r="77">
      <c r="A77" s="7" t="inlineStr">
        <is>
          <t>PER</t>
        </is>
      </c>
      <c r="B77" s="7" t="inlineStr">
        <is>
          <t>Night Person</t>
        </is>
      </c>
      <c r="C77" s="4">
        <f>VLOOKUP($B$4,Presets!$A$5:$IQ$6,67,FALSE)</f>
        <v/>
      </c>
      <c r="D77" s="7">
        <f>INDEX('Perk Values'!$C$5:$C$247,MATCH($B77,'Perk Values'!$A$5:$A$247,0))</f>
        <v/>
      </c>
      <c r="E77" s="7">
        <f>IF(C77&lt;=D77,"OK","exceeds max rank "&amp;D77)</f>
        <v/>
      </c>
      <c r="F77" s="7">
        <f>INDEX('Perk Values'!$G$5:$K$247,MATCH($B77,'Perk Values'!$A$5:$A$247,0),C77+1)</f>
        <v/>
      </c>
      <c r="G77" s="7">
        <f>INDEX('Perk Values'!$L$5:$P$247,MATCH($B77,'Perk Values'!$A$5:$A$247,0),C77+1)</f>
        <v/>
      </c>
      <c r="H77" s="7">
        <f>INDEX('Perk Values'!$D$5:$D$247,MATCH($B77,'Perk Values'!$A$5:$A$247,0))</f>
        <v/>
      </c>
      <c r="I77" s="7" t="inlineStr"/>
    </row>
    <row r="78">
      <c r="A78" s="7" t="inlineStr">
        <is>
          <t>PER</t>
        </is>
      </c>
      <c r="B78" s="7" t="inlineStr">
        <is>
          <t>Number Cruncher</t>
        </is>
      </c>
      <c r="C78" s="4">
        <f>VLOOKUP($B$4,Presets!$A$5:$IQ$6,68,FALSE)</f>
        <v/>
      </c>
      <c r="D78" s="7">
        <f>INDEX('Perk Values'!$C$5:$C$247,MATCH($B78,'Perk Values'!$A$5:$A$247,0))</f>
        <v/>
      </c>
      <c r="E78" s="7">
        <f>IF(C78&lt;=D78,"OK","exceeds max rank "&amp;D78)</f>
        <v/>
      </c>
      <c r="F78" s="7">
        <f>INDEX('Perk Values'!$G$5:$K$247,MATCH($B78,'Perk Values'!$A$5:$A$247,0),C78+1)</f>
        <v/>
      </c>
      <c r="G78" s="7">
        <f>INDEX('Perk Values'!$L$5:$P$247,MATCH($B78,'Perk Values'!$A$5:$A$247,0),C78+1)</f>
        <v/>
      </c>
      <c r="H78" s="7">
        <f>INDEX('Perk Values'!$D$5:$D$247,MATCH($B78,'Perk Values'!$A$5:$A$247,0))</f>
        <v/>
      </c>
      <c r="I78" s="7" t="inlineStr"/>
    </row>
    <row r="79">
      <c r="A79" s="7" t="inlineStr">
        <is>
          <t>PER</t>
        </is>
      </c>
      <c r="B79" s="7" t="inlineStr">
        <is>
          <t>Pannapictagraphist</t>
        </is>
      </c>
      <c r="C79" s="4">
        <f>VLOOKUP($B$4,Presets!$A$5:$IQ$6,69,FALSE)</f>
        <v/>
      </c>
      <c r="D79" s="7">
        <f>INDEX('Perk Values'!$C$5:$C$247,MATCH($B79,'Perk Values'!$A$5:$A$247,0))</f>
        <v/>
      </c>
      <c r="E79" s="7">
        <f>IF(C79&lt;=D79,"OK","exceeds max rank "&amp;D79)</f>
        <v/>
      </c>
      <c r="F79" s="7">
        <f>INDEX('Perk Values'!$G$5:$K$247,MATCH($B79,'Perk Values'!$A$5:$A$247,0),C79+1)</f>
        <v/>
      </c>
      <c r="G79" s="7">
        <f>INDEX('Perk Values'!$L$5:$P$247,MATCH($B79,'Perk Values'!$A$5:$A$247,0),C79+1)</f>
        <v/>
      </c>
      <c r="H79" s="7">
        <f>INDEX('Perk Values'!$D$5:$D$247,MATCH($B79,'Perk Values'!$A$5:$A$247,0))</f>
        <v/>
      </c>
      <c r="I79" s="7" t="inlineStr"/>
    </row>
    <row r="80">
      <c r="A80" s="7" t="inlineStr">
        <is>
          <t>PER</t>
        </is>
      </c>
      <c r="B80" s="7" t="inlineStr">
        <is>
          <t>Percepti-Bobble</t>
        </is>
      </c>
      <c r="C80" s="4">
        <f>VLOOKUP($B$4,Presets!$A$5:$IQ$6,70,FALSE)</f>
        <v/>
      </c>
      <c r="D80" s="7">
        <f>INDEX('Perk Values'!$C$5:$C$247,MATCH($B80,'Perk Values'!$A$5:$A$247,0))</f>
        <v/>
      </c>
      <c r="E80" s="7">
        <f>IF(C80&lt;=D80,"OK","exceeds max rank "&amp;D80)</f>
        <v/>
      </c>
      <c r="F80" s="7">
        <f>INDEX('Perk Values'!$G$5:$K$247,MATCH($B80,'Perk Values'!$A$5:$A$247,0),C80+1)</f>
        <v/>
      </c>
      <c r="G80" s="7">
        <f>INDEX('Perk Values'!$L$5:$P$247,MATCH($B80,'Perk Values'!$A$5:$A$247,0),C80+1)</f>
        <v/>
      </c>
      <c r="H80" s="7">
        <f>INDEX('Perk Values'!$D$5:$D$247,MATCH($B80,'Perk Values'!$A$5:$A$247,0))</f>
        <v/>
      </c>
      <c r="I80" s="7" t="inlineStr"/>
    </row>
    <row r="81">
      <c r="A81" s="7" t="inlineStr">
        <is>
          <t>PER</t>
        </is>
      </c>
      <c r="B81" s="7" t="inlineStr">
        <is>
          <t>Picklock</t>
        </is>
      </c>
      <c r="C81" s="4">
        <f>VLOOKUP($B$4,Presets!$A$5:$IQ$6,71,FALSE)</f>
        <v/>
      </c>
      <c r="D81" s="7">
        <f>INDEX('Perk Values'!$C$5:$C$247,MATCH($B81,'Perk Values'!$A$5:$A$247,0))</f>
        <v/>
      </c>
      <c r="E81" s="7">
        <f>IF(C81&lt;=D81,"OK","exceeds max rank "&amp;D81)</f>
        <v/>
      </c>
      <c r="F81" s="7">
        <f>INDEX('Perk Values'!$G$5:$K$247,MATCH($B81,'Perk Values'!$A$5:$A$247,0),C81+1)</f>
        <v/>
      </c>
      <c r="G81" s="7">
        <f>INDEX('Perk Values'!$L$5:$P$247,MATCH($B81,'Perk Values'!$A$5:$A$247,0),C81+1)</f>
        <v/>
      </c>
      <c r="H81" s="7">
        <f>INDEX('Perk Values'!$D$5:$D$247,MATCH($B81,'Perk Values'!$A$5:$A$247,0))</f>
        <v/>
      </c>
      <c r="I81" s="7" t="inlineStr"/>
    </row>
    <row r="82">
      <c r="A82" s="7" t="inlineStr">
        <is>
          <t>PER</t>
        </is>
      </c>
      <c r="B82" s="7" t="inlineStr">
        <is>
          <t>Refractor</t>
        </is>
      </c>
      <c r="C82" s="4">
        <f>VLOOKUP($B$4,Presets!$A$5:$IQ$6,72,FALSE)</f>
        <v/>
      </c>
      <c r="D82" s="7">
        <f>INDEX('Perk Values'!$C$5:$C$247,MATCH($B82,'Perk Values'!$A$5:$A$247,0))</f>
        <v/>
      </c>
      <c r="E82" s="7">
        <f>IF(C82&lt;=D82,"OK","exceeds max rank "&amp;D82)</f>
        <v/>
      </c>
      <c r="F82" s="7">
        <f>INDEX('Perk Values'!$G$5:$K$247,MATCH($B82,'Perk Values'!$A$5:$A$247,0),C82+1)</f>
        <v/>
      </c>
      <c r="G82" s="7">
        <f>INDEX('Perk Values'!$L$5:$P$247,MATCH($B82,'Perk Values'!$A$5:$A$247,0),C82+1)</f>
        <v/>
      </c>
      <c r="H82" s="7">
        <f>INDEX('Perk Values'!$D$5:$D$247,MATCH($B82,'Perk Values'!$A$5:$A$247,0))</f>
        <v/>
      </c>
      <c r="I82" s="7" t="inlineStr"/>
    </row>
    <row r="83">
      <c r="A83" s="7" t="inlineStr">
        <is>
          <t>PER</t>
        </is>
      </c>
      <c r="B83" s="7" t="inlineStr">
        <is>
          <t>Scoped-up</t>
        </is>
      </c>
      <c r="C83" s="4">
        <f>VLOOKUP($B$4,Presets!$A$5:$IQ$6,73,FALSE)</f>
        <v/>
      </c>
      <c r="D83" s="7">
        <f>INDEX('Perk Values'!$C$5:$C$247,MATCH($B83,'Perk Values'!$A$5:$A$247,0))</f>
        <v/>
      </c>
      <c r="E83" s="7">
        <f>IF(C83&lt;=D83,"OK","exceeds max rank "&amp;D83)</f>
        <v/>
      </c>
      <c r="F83" s="7">
        <f>INDEX('Perk Values'!$G$5:$K$247,MATCH($B83,'Perk Values'!$A$5:$A$247,0),C83+1)</f>
        <v/>
      </c>
      <c r="G83" s="7">
        <f>INDEX('Perk Values'!$L$5:$P$247,MATCH($B83,'Perk Values'!$A$5:$A$247,0),C83+1)</f>
        <v/>
      </c>
      <c r="H83" s="7">
        <f>INDEX('Perk Values'!$D$5:$D$247,MATCH($B83,'Perk Values'!$A$5:$A$247,0))</f>
        <v/>
      </c>
      <c r="I83" s="7" t="inlineStr"/>
    </row>
    <row r="84">
      <c r="A84" s="7" t="inlineStr">
        <is>
          <t>PER</t>
        </is>
      </c>
      <c r="B84" s="7" t="inlineStr">
        <is>
          <t>Skeet Shooter</t>
        </is>
      </c>
      <c r="C84" s="4">
        <f>VLOOKUP($B$4,Presets!$A$5:$IQ$6,74,FALSE)</f>
        <v/>
      </c>
      <c r="D84" s="7">
        <f>INDEX('Perk Values'!$C$5:$C$247,MATCH($B84,'Perk Values'!$A$5:$A$247,0))</f>
        <v/>
      </c>
      <c r="E84" s="7">
        <f>IF(C84&lt;=D84,"OK","exceeds max rank "&amp;D84)</f>
        <v/>
      </c>
      <c r="F84" s="7">
        <f>INDEX('Perk Values'!$G$5:$K$247,MATCH($B84,'Perk Values'!$A$5:$A$247,0),C84+1)</f>
        <v/>
      </c>
      <c r="G84" s="7">
        <f>INDEX('Perk Values'!$L$5:$P$247,MATCH($B84,'Perk Values'!$A$5:$A$247,0),C84+1)</f>
        <v/>
      </c>
      <c r="H84" s="7">
        <f>INDEX('Perk Values'!$D$5:$D$247,MATCH($B84,'Perk Values'!$A$5:$A$247,0))</f>
        <v/>
      </c>
      <c r="I84" s="7" t="inlineStr"/>
    </row>
    <row r="85">
      <c r="A85" s="7" t="inlineStr">
        <is>
          <t>PER</t>
        </is>
      </c>
      <c r="B85" s="7" t="inlineStr">
        <is>
          <t>Smart Shot</t>
        </is>
      </c>
      <c r="C85" s="4">
        <f>VLOOKUP($B$4,Presets!$A$5:$IQ$6,75,FALSE)</f>
        <v/>
      </c>
      <c r="D85" s="7">
        <f>INDEX('Perk Values'!$C$5:$C$247,MATCH($B85,'Perk Values'!$A$5:$A$247,0))</f>
        <v/>
      </c>
      <c r="E85" s="7">
        <f>IF(C85&lt;=D85,"OK","exceeds max rank "&amp;D85)</f>
        <v/>
      </c>
      <c r="F85" s="7">
        <f>INDEX('Perk Values'!$G$5:$K$247,MATCH($B85,'Perk Values'!$A$5:$A$247,0),C85+1)</f>
        <v/>
      </c>
      <c r="G85" s="7">
        <f>INDEX('Perk Values'!$L$5:$P$247,MATCH($B85,'Perk Values'!$A$5:$A$247,0),C85+1)</f>
        <v/>
      </c>
      <c r="H85" s="7">
        <f>INDEX('Perk Values'!$D$5:$D$247,MATCH($B85,'Perk Values'!$A$5:$A$247,0))</f>
        <v/>
      </c>
      <c r="I85" s="7" t="inlineStr"/>
    </row>
    <row r="86">
      <c r="A86" s="7" t="inlineStr">
        <is>
          <t>PER</t>
        </is>
      </c>
      <c r="B86" s="7" t="inlineStr">
        <is>
          <t>Sniper</t>
        </is>
      </c>
      <c r="C86" s="4">
        <f>VLOOKUP($B$4,Presets!$A$5:$IQ$6,76,FALSE)</f>
        <v/>
      </c>
      <c r="D86" s="7">
        <f>INDEX('Perk Values'!$C$5:$C$247,MATCH($B86,'Perk Values'!$A$5:$A$247,0))</f>
        <v/>
      </c>
      <c r="E86" s="7">
        <f>IF(C86&lt;=D86,"OK","exceeds max rank "&amp;D86)</f>
        <v/>
      </c>
      <c r="F86" s="7">
        <f>INDEX('Perk Values'!$G$5:$K$247,MATCH($B86,'Perk Values'!$A$5:$A$247,0),C86+1)</f>
        <v/>
      </c>
      <c r="G86" s="7">
        <f>INDEX('Perk Values'!$L$5:$P$247,MATCH($B86,'Perk Values'!$A$5:$A$247,0),C86+1)</f>
        <v/>
      </c>
      <c r="H86" s="7">
        <f>INDEX('Perk Values'!$D$5:$D$247,MATCH($B86,'Perk Values'!$A$5:$A$247,0))</f>
        <v/>
      </c>
      <c r="I86" s="7" t="inlineStr"/>
    </row>
    <row r="87">
      <c r="A87" s="7" t="inlineStr">
        <is>
          <t>PER</t>
        </is>
      </c>
      <c r="B87" s="7" t="inlineStr">
        <is>
          <t>Tank Killer</t>
        </is>
      </c>
      <c r="C87" s="4">
        <f>VLOOKUP($B$4,Presets!$A$5:$IQ$6,77,FALSE)</f>
        <v/>
      </c>
      <c r="D87" s="7">
        <f>INDEX('Perk Values'!$C$5:$C$247,MATCH($B87,'Perk Values'!$A$5:$A$247,0))</f>
        <v/>
      </c>
      <c r="E87" s="7">
        <f>IF(C87&lt;=D87,"OK","exceeds max rank "&amp;D87)</f>
        <v/>
      </c>
      <c r="F87" s="7">
        <f>INDEX('Perk Values'!$G$5:$K$247,MATCH($B87,'Perk Values'!$A$5:$A$247,0),C87+1)</f>
        <v/>
      </c>
      <c r="G87" s="7">
        <f>INDEX('Perk Values'!$L$5:$P$247,MATCH($B87,'Perk Values'!$A$5:$A$247,0),C87+1)</f>
        <v/>
      </c>
      <c r="H87" s="7">
        <f>INDEX('Perk Values'!$D$5:$D$247,MATCH($B87,'Perk Values'!$A$5:$A$247,0))</f>
        <v/>
      </c>
      <c r="I87" s="7" t="inlineStr"/>
    </row>
    <row r="88">
      <c r="A88" s="7" t="inlineStr">
        <is>
          <t>PER</t>
        </is>
      </c>
      <c r="B88" s="7" t="inlineStr">
        <is>
          <t>Tormentor</t>
        </is>
      </c>
      <c r="C88" s="4">
        <f>VLOOKUP($B$4,Presets!$A$5:$IQ$6,78,FALSE)</f>
        <v/>
      </c>
      <c r="D88" s="7">
        <f>INDEX('Perk Values'!$C$5:$C$247,MATCH($B88,'Perk Values'!$A$5:$A$247,0))</f>
        <v/>
      </c>
      <c r="E88" s="7">
        <f>IF(C88&lt;=D88,"OK","exceeds max rank "&amp;D88)</f>
        <v/>
      </c>
      <c r="F88" s="7">
        <f>INDEX('Perk Values'!$G$5:$K$247,MATCH($B88,'Perk Values'!$A$5:$A$247,0),C88+1)</f>
        <v/>
      </c>
      <c r="G88" s="7">
        <f>INDEX('Perk Values'!$L$5:$P$247,MATCH($B88,'Perk Values'!$A$5:$A$247,0),C88+1)</f>
        <v/>
      </c>
      <c r="H88" s="7">
        <f>INDEX('Perk Values'!$D$5:$D$247,MATCH($B88,'Perk Values'!$A$5:$A$247,0))</f>
        <v/>
      </c>
      <c r="I88" s="7" t="inlineStr"/>
    </row>
    <row r="89">
      <c r="A89" s="7" t="inlineStr">
        <is>
          <t>PER</t>
        </is>
      </c>
      <c r="B89" s="7" t="inlineStr">
        <is>
          <t>Breathe It In</t>
        </is>
      </c>
      <c r="C89" s="4">
        <f>VLOOKUP($B$4,Presets!$A$5:$IQ$6,79,FALSE)</f>
        <v/>
      </c>
      <c r="D89" s="7">
        <f>INDEX('Perk Values'!$C$5:$C$247,MATCH($B89,'Perk Values'!$A$5:$A$247,0))</f>
        <v/>
      </c>
      <c r="E89" s="7">
        <f>IF(C89&lt;=D89,"OK","exceeds max rank "&amp;D89)</f>
        <v/>
      </c>
      <c r="F89" s="7">
        <f>INDEX('Perk Values'!$G$5:$K$247,MATCH($B89,'Perk Values'!$A$5:$A$247,0),C89+1)</f>
        <v/>
      </c>
      <c r="G89" s="7">
        <f>INDEX('Perk Values'!$L$5:$P$247,MATCH($B89,'Perk Values'!$A$5:$A$247,0),C89+1)</f>
        <v/>
      </c>
      <c r="H89" s="7">
        <f>INDEX('Perk Values'!$D$5:$D$247,MATCH($B89,'Perk Values'!$A$5:$A$247,0))</f>
        <v/>
      </c>
      <c r="I89" s="7" t="inlineStr"/>
    </row>
    <row r="90">
      <c r="A90" s="7" t="inlineStr">
        <is>
          <t>PER</t>
        </is>
      </c>
      <c r="B90" s="7" t="inlineStr">
        <is>
          <t>Eye of the Hunter</t>
        </is>
      </c>
      <c r="C90" s="4">
        <f>VLOOKUP($B$4,Presets!$A$5:$IQ$6,80,FALSE)</f>
        <v/>
      </c>
      <c r="D90" s="7">
        <f>INDEX('Perk Values'!$C$5:$C$247,MATCH($B90,'Perk Values'!$A$5:$A$247,0))</f>
        <v/>
      </c>
      <c r="E90" s="7">
        <f>IF(C90&lt;=D90,"OK","exceeds max rank "&amp;D90)</f>
        <v/>
      </c>
      <c r="F90" s="7">
        <f>INDEX('Perk Values'!$G$5:$K$247,MATCH($B90,'Perk Values'!$A$5:$A$247,0),C90+1)</f>
        <v/>
      </c>
      <c r="G90" s="7">
        <f>INDEX('Perk Values'!$L$5:$P$247,MATCH($B90,'Perk Values'!$A$5:$A$247,0),C90+1)</f>
        <v/>
      </c>
      <c r="H90" s="7">
        <f>INDEX('Perk Values'!$D$5:$D$247,MATCH($B90,'Perk Values'!$A$5:$A$247,0))</f>
        <v/>
      </c>
      <c r="I90" s="7" t="inlineStr"/>
    </row>
    <row r="91">
      <c r="A91" s="7" t="inlineStr">
        <is>
          <t>PER</t>
        </is>
      </c>
      <c r="B91" s="7" t="inlineStr">
        <is>
          <t>Glowing Hunter</t>
        </is>
      </c>
      <c r="C91" s="4">
        <f>VLOOKUP($B$4,Presets!$A$5:$IQ$6,81,FALSE)</f>
        <v/>
      </c>
      <c r="D91" s="7">
        <f>INDEX('Perk Values'!$C$5:$C$247,MATCH($B91,'Perk Values'!$A$5:$A$247,0))</f>
        <v/>
      </c>
      <c r="E91" s="7">
        <f>IF(C91&lt;=D91,"OK","exceeds max rank "&amp;D91)</f>
        <v/>
      </c>
      <c r="F91" s="7">
        <f>INDEX('Perk Values'!$G$5:$K$247,MATCH($B91,'Perk Values'!$A$5:$A$247,0),C91+1)</f>
        <v/>
      </c>
      <c r="G91" s="7">
        <f>INDEX('Perk Values'!$L$5:$P$247,MATCH($B91,'Perk Values'!$A$5:$A$247,0),C91+1)</f>
        <v/>
      </c>
      <c r="H91" s="7">
        <f>INDEX('Perk Values'!$D$5:$D$247,MATCH($B91,'Perk Values'!$A$5:$A$247,0))</f>
        <v/>
      </c>
      <c r="I91" s="7" t="inlineStr"/>
    </row>
    <row r="92">
      <c r="A92" s="7" t="inlineStr">
        <is>
          <t>PER</t>
        </is>
      </c>
      <c r="B92" s="7" t="inlineStr">
        <is>
          <t>Rad-Reaver</t>
        </is>
      </c>
      <c r="C92" s="4">
        <f>VLOOKUP($B$4,Presets!$A$5:$IQ$6,82,FALSE)</f>
        <v/>
      </c>
      <c r="D92" s="7">
        <f>INDEX('Perk Values'!$C$5:$C$247,MATCH($B92,'Perk Values'!$A$5:$A$247,0))</f>
        <v/>
      </c>
      <c r="E92" s="7">
        <f>IF(C92&lt;=D92,"OK","exceeds max rank "&amp;D92)</f>
        <v/>
      </c>
      <c r="F92" s="7">
        <f>INDEX('Perk Values'!$G$5:$K$247,MATCH($B92,'Perk Values'!$A$5:$A$247,0),C92+1)</f>
        <v/>
      </c>
      <c r="G92" s="7">
        <f>INDEX('Perk Values'!$L$5:$P$247,MATCH($B92,'Perk Values'!$A$5:$A$247,0),C92+1)</f>
        <v/>
      </c>
      <c r="H92" s="7">
        <f>INDEX('Perk Values'!$D$5:$D$247,MATCH($B92,'Perk Values'!$A$5:$A$247,0))</f>
        <v/>
      </c>
      <c r="I92" s="7" t="inlineStr"/>
    </row>
    <row r="93">
      <c r="A93" s="7" t="inlineStr">
        <is>
          <t>END</t>
        </is>
      </c>
      <c r="B93" s="7" t="inlineStr">
        <is>
          <t>Adamantium Skeleton</t>
        </is>
      </c>
      <c r="C93" s="4">
        <f>VLOOKUP($B$4,Presets!$A$5:$IQ$6,83,FALSE)</f>
        <v/>
      </c>
      <c r="D93" s="7">
        <f>INDEX('Perk Values'!$C$5:$C$247,MATCH($B93,'Perk Values'!$A$5:$A$247,0))</f>
        <v/>
      </c>
      <c r="E93" s="7">
        <f>IF(C93&lt;=D93,"OK","exceeds max rank "&amp;D93)</f>
        <v/>
      </c>
      <c r="F93" s="7">
        <f>INDEX('Perk Values'!$G$5:$K$247,MATCH($B93,'Perk Values'!$A$5:$A$247,0),C93+1)</f>
        <v/>
      </c>
      <c r="G93" s="7">
        <f>INDEX('Perk Values'!$L$5:$P$247,MATCH($B93,'Perk Values'!$A$5:$A$247,0),C93+1)</f>
        <v/>
      </c>
      <c r="H93" s="7">
        <f>INDEX('Perk Values'!$D$5:$D$247,MATCH($B93,'Perk Values'!$A$5:$A$247,0))</f>
        <v/>
      </c>
      <c r="I93" s="7" t="inlineStr"/>
    </row>
    <row r="94">
      <c r="A94" s="7" t="inlineStr">
        <is>
          <t>END</t>
        </is>
      </c>
      <c r="B94" s="7" t="inlineStr">
        <is>
          <t>All Night Long</t>
        </is>
      </c>
      <c r="C94" s="4">
        <f>VLOOKUP($B$4,Presets!$A$5:$IQ$6,84,FALSE)</f>
        <v/>
      </c>
      <c r="D94" s="7">
        <f>INDEX('Perk Values'!$C$5:$C$247,MATCH($B94,'Perk Values'!$A$5:$A$247,0))</f>
        <v/>
      </c>
      <c r="E94" s="7">
        <f>IF(C94&lt;=D94,"OK","exceeds max rank "&amp;D94)</f>
        <v/>
      </c>
      <c r="F94" s="7">
        <f>INDEX('Perk Values'!$G$5:$K$247,MATCH($B94,'Perk Values'!$A$5:$A$247,0),C94+1)</f>
        <v/>
      </c>
      <c r="G94" s="7">
        <f>INDEX('Perk Values'!$L$5:$P$247,MATCH($B94,'Perk Values'!$A$5:$A$247,0),C94+1)</f>
        <v/>
      </c>
      <c r="H94" s="7">
        <f>INDEX('Perk Values'!$D$5:$D$247,MATCH($B94,'Perk Values'!$A$5:$A$247,0))</f>
        <v/>
      </c>
      <c r="I94" s="7" t="inlineStr"/>
    </row>
    <row r="95">
      <c r="A95" s="7" t="inlineStr">
        <is>
          <t>END</t>
        </is>
      </c>
      <c r="B95" s="7" t="inlineStr">
        <is>
          <t>Aquaboy</t>
        </is>
      </c>
      <c r="C95" s="4">
        <f>VLOOKUP($B$4,Presets!$A$5:$IQ$6,85,FALSE)</f>
        <v/>
      </c>
      <c r="D95" s="7">
        <f>INDEX('Perk Values'!$C$5:$C$247,MATCH($B95,'Perk Values'!$A$5:$A$247,0))</f>
        <v/>
      </c>
      <c r="E95" s="7">
        <f>IF(C95&lt;=D95,"OK","exceeds max rank "&amp;D95)</f>
        <v/>
      </c>
      <c r="F95" s="7">
        <f>INDEX('Perk Values'!$G$5:$K$247,MATCH($B95,'Perk Values'!$A$5:$A$247,0),C95+1)</f>
        <v/>
      </c>
      <c r="G95" s="7">
        <f>INDEX('Perk Values'!$L$5:$P$247,MATCH($B95,'Perk Values'!$A$5:$A$247,0),C95+1)</f>
        <v/>
      </c>
      <c r="H95" s="7">
        <f>INDEX('Perk Values'!$D$5:$D$247,MATCH($B95,'Perk Values'!$A$5:$A$247,0))</f>
        <v/>
      </c>
      <c r="I95" s="7" t="inlineStr"/>
    </row>
    <row r="96">
      <c r="A96" s="7" t="inlineStr">
        <is>
          <t>END</t>
        </is>
      </c>
      <c r="B96" s="7" t="inlineStr">
        <is>
          <t>Aquagirl</t>
        </is>
      </c>
      <c r="C96" s="4">
        <f>VLOOKUP($B$4,Presets!$A$5:$IQ$6,86,FALSE)</f>
        <v/>
      </c>
      <c r="D96" s="7">
        <f>INDEX('Perk Values'!$C$5:$C$247,MATCH($B96,'Perk Values'!$A$5:$A$247,0))</f>
        <v/>
      </c>
      <c r="E96" s="7">
        <f>IF(C96&lt;=D96,"OK","exceeds max rank "&amp;D96)</f>
        <v/>
      </c>
      <c r="F96" s="7">
        <f>INDEX('Perk Values'!$G$5:$K$247,MATCH($B96,'Perk Values'!$A$5:$A$247,0),C96+1)</f>
        <v/>
      </c>
      <c r="G96" s="7">
        <f>INDEX('Perk Values'!$L$5:$P$247,MATCH($B96,'Perk Values'!$A$5:$A$247,0),C96+1)</f>
        <v/>
      </c>
      <c r="H96" s="7">
        <f>INDEX('Perk Values'!$D$5:$D$247,MATCH($B96,'Perk Values'!$A$5:$A$247,0))</f>
        <v/>
      </c>
      <c r="I96" s="7" t="inlineStr"/>
    </row>
    <row r="97">
      <c r="A97" s="7" t="inlineStr">
        <is>
          <t>END</t>
        </is>
      </c>
      <c r="B97" s="7" t="inlineStr">
        <is>
          <t>Bloodsucker</t>
        </is>
      </c>
      <c r="C97" s="4">
        <f>VLOOKUP($B$4,Presets!$A$5:$IQ$6,87,FALSE)</f>
        <v/>
      </c>
      <c r="D97" s="7">
        <f>INDEX('Perk Values'!$C$5:$C$247,MATCH($B97,'Perk Values'!$A$5:$A$247,0))</f>
        <v/>
      </c>
      <c r="E97" s="7">
        <f>IF(C97&lt;=D97,"OK","exceeds max rank "&amp;D97)</f>
        <v/>
      </c>
      <c r="F97" s="7">
        <f>INDEX('Perk Values'!$G$5:$K$247,MATCH($B97,'Perk Values'!$A$5:$A$247,0),C97+1)</f>
        <v/>
      </c>
      <c r="G97" s="7">
        <f>INDEX('Perk Values'!$L$5:$P$247,MATCH($B97,'Perk Values'!$A$5:$A$247,0),C97+1)</f>
        <v/>
      </c>
      <c r="H97" s="7">
        <f>INDEX('Perk Values'!$D$5:$D$247,MATCH($B97,'Perk Values'!$A$5:$A$247,0))</f>
        <v/>
      </c>
      <c r="I97" s="7" t="inlineStr"/>
    </row>
    <row r="98">
      <c r="A98" s="7" t="inlineStr">
        <is>
          <t>END</t>
        </is>
      </c>
      <c r="B98" s="7" t="inlineStr">
        <is>
          <t>Bullet Shield</t>
        </is>
      </c>
      <c r="C98" s="4">
        <f>VLOOKUP($B$4,Presets!$A$5:$IQ$6,88,FALSE)</f>
        <v/>
      </c>
      <c r="D98" s="7">
        <f>INDEX('Perk Values'!$C$5:$C$247,MATCH($B98,'Perk Values'!$A$5:$A$247,0))</f>
        <v/>
      </c>
      <c r="E98" s="7">
        <f>IF(C98&lt;=D98,"OK","exceeds max rank "&amp;D98)</f>
        <v/>
      </c>
      <c r="F98" s="7">
        <f>INDEX('Perk Values'!$G$5:$K$247,MATCH($B98,'Perk Values'!$A$5:$A$247,0),C98+1)</f>
        <v/>
      </c>
      <c r="G98" s="7">
        <f>INDEX('Perk Values'!$L$5:$P$247,MATCH($B98,'Perk Values'!$A$5:$A$247,0),C98+1)</f>
        <v/>
      </c>
      <c r="H98" s="7">
        <f>INDEX('Perk Values'!$D$5:$D$247,MATCH($B98,'Perk Values'!$A$5:$A$247,0))</f>
        <v/>
      </c>
      <c r="I98" s="7" t="inlineStr"/>
    </row>
    <row r="99">
      <c r="A99" s="7" t="inlineStr">
        <is>
          <t>END</t>
        </is>
      </c>
      <c r="B99" s="7" t="inlineStr">
        <is>
          <t>Cannibal</t>
        </is>
      </c>
      <c r="C99" s="4">
        <f>VLOOKUP($B$4,Presets!$A$5:$IQ$6,89,FALSE)</f>
        <v/>
      </c>
      <c r="D99" s="7">
        <f>INDEX('Perk Values'!$C$5:$C$247,MATCH($B99,'Perk Values'!$A$5:$A$247,0))</f>
        <v/>
      </c>
      <c r="E99" s="7">
        <f>IF(C99&lt;=D99,"OK","exceeds max rank "&amp;D99)</f>
        <v/>
      </c>
      <c r="F99" s="7">
        <f>INDEX('Perk Values'!$G$5:$K$247,MATCH($B99,'Perk Values'!$A$5:$A$247,0),C99+1)</f>
        <v/>
      </c>
      <c r="G99" s="7">
        <f>INDEX('Perk Values'!$L$5:$P$247,MATCH($B99,'Perk Values'!$A$5:$A$247,0),C99+1)</f>
        <v/>
      </c>
      <c r="H99" s="7">
        <f>INDEX('Perk Values'!$D$5:$D$247,MATCH($B99,'Perk Values'!$A$5:$A$247,0))</f>
        <v/>
      </c>
      <c r="I99" s="7" t="inlineStr"/>
    </row>
    <row r="100">
      <c r="A100" s="7" t="inlineStr">
        <is>
          <t>END</t>
        </is>
      </c>
      <c r="B100" s="7" t="inlineStr">
        <is>
          <t>Chem Fiend</t>
        </is>
      </c>
      <c r="C100" s="4">
        <f>VLOOKUP($B$4,Presets!$A$5:$IQ$6,90,FALSE)</f>
        <v/>
      </c>
      <c r="D100" s="7">
        <f>INDEX('Perk Values'!$C$5:$C$247,MATCH($B100,'Perk Values'!$A$5:$A$247,0))</f>
        <v/>
      </c>
      <c r="E100" s="7">
        <f>IF(C100&lt;=D100,"OK","exceeds max rank "&amp;D100)</f>
        <v/>
      </c>
      <c r="F100" s="7">
        <f>INDEX('Perk Values'!$G$5:$K$247,MATCH($B100,'Perk Values'!$A$5:$A$247,0),C100+1)</f>
        <v/>
      </c>
      <c r="G100" s="7">
        <f>INDEX('Perk Values'!$L$5:$P$247,MATCH($B100,'Perk Values'!$A$5:$A$247,0),C100+1)</f>
        <v/>
      </c>
      <c r="H100" s="7">
        <f>INDEX('Perk Values'!$D$5:$D$247,MATCH($B100,'Perk Values'!$A$5:$A$247,0))</f>
        <v/>
      </c>
      <c r="I100" s="7" t="inlineStr"/>
    </row>
    <row r="101">
      <c r="A101" s="7" t="inlineStr">
        <is>
          <t>END</t>
        </is>
      </c>
      <c r="B101" s="7" t="inlineStr">
        <is>
          <t>Chem Resistant</t>
        </is>
      </c>
      <c r="C101" s="4">
        <f>VLOOKUP($B$4,Presets!$A$5:$IQ$6,91,FALSE)</f>
        <v/>
      </c>
      <c r="D101" s="7">
        <f>INDEX('Perk Values'!$C$5:$C$247,MATCH($B101,'Perk Values'!$A$5:$A$247,0))</f>
        <v/>
      </c>
      <c r="E101" s="7">
        <f>IF(C101&lt;=D101,"OK","exceeds max rank "&amp;D101)</f>
        <v/>
      </c>
      <c r="F101" s="7">
        <f>INDEX('Perk Values'!$G$5:$K$247,MATCH($B101,'Perk Values'!$A$5:$A$247,0),C101+1)</f>
        <v/>
      </c>
      <c r="G101" s="7">
        <f>INDEX('Perk Values'!$L$5:$P$247,MATCH($B101,'Perk Values'!$A$5:$A$247,0),C101+1)</f>
        <v/>
      </c>
      <c r="H101" s="7">
        <f>INDEX('Perk Values'!$D$5:$D$247,MATCH($B101,'Perk Values'!$A$5:$A$247,0))</f>
        <v/>
      </c>
      <c r="I101" s="7" t="inlineStr"/>
    </row>
    <row r="102">
      <c r="A102" s="7" t="inlineStr">
        <is>
          <t>END</t>
        </is>
      </c>
      <c r="B102" s="7" t="inlineStr">
        <is>
          <t>Cola Nut</t>
        </is>
      </c>
      <c r="C102" s="4">
        <f>VLOOKUP($B$4,Presets!$A$5:$IQ$6,92,FALSE)</f>
        <v/>
      </c>
      <c r="D102" s="7">
        <f>INDEX('Perk Values'!$C$5:$C$247,MATCH($B102,'Perk Values'!$A$5:$A$247,0))</f>
        <v/>
      </c>
      <c r="E102" s="7">
        <f>IF(C102&lt;=D102,"OK","exceeds max rank "&amp;D102)</f>
        <v/>
      </c>
      <c r="F102" s="7">
        <f>INDEX('Perk Values'!$G$5:$K$247,MATCH($B102,'Perk Values'!$A$5:$A$247,0),C102+1)</f>
        <v/>
      </c>
      <c r="G102" s="7">
        <f>INDEX('Perk Values'!$L$5:$P$247,MATCH($B102,'Perk Values'!$A$5:$A$247,0),C102+1)</f>
        <v/>
      </c>
      <c r="H102" s="7">
        <f>INDEX('Perk Values'!$D$5:$D$247,MATCH($B102,'Perk Values'!$A$5:$A$247,0))</f>
        <v/>
      </c>
      <c r="I102" s="7" t="inlineStr"/>
    </row>
    <row r="103">
      <c r="A103" s="7" t="inlineStr">
        <is>
          <t>END</t>
        </is>
      </c>
      <c r="B103" s="7" t="inlineStr">
        <is>
          <t>Dromedary</t>
        </is>
      </c>
      <c r="C103" s="4">
        <f>VLOOKUP($B$4,Presets!$A$5:$IQ$6,93,FALSE)</f>
        <v/>
      </c>
      <c r="D103" s="7">
        <f>INDEX('Perk Values'!$C$5:$C$247,MATCH($B103,'Perk Values'!$A$5:$A$247,0))</f>
        <v/>
      </c>
      <c r="E103" s="7">
        <f>IF(C103&lt;=D103,"OK","exceeds max rank "&amp;D103)</f>
        <v/>
      </c>
      <c r="F103" s="7">
        <f>INDEX('Perk Values'!$G$5:$K$247,MATCH($B103,'Perk Values'!$A$5:$A$247,0),C103+1)</f>
        <v/>
      </c>
      <c r="G103" s="7">
        <f>INDEX('Perk Values'!$L$5:$P$247,MATCH($B103,'Perk Values'!$A$5:$A$247,0),C103+1)</f>
        <v/>
      </c>
      <c r="H103" s="7">
        <f>INDEX('Perk Values'!$D$5:$D$247,MATCH($B103,'Perk Values'!$A$5:$A$247,0))</f>
        <v/>
      </c>
      <c r="I103" s="7" t="inlineStr"/>
    </row>
    <row r="104">
      <c r="A104" s="7" t="inlineStr">
        <is>
          <t>END</t>
        </is>
      </c>
      <c r="B104" s="7" t="inlineStr">
        <is>
          <t>Ghoulish</t>
        </is>
      </c>
      <c r="C104" s="4">
        <f>VLOOKUP($B$4,Presets!$A$5:$IQ$6,94,FALSE)</f>
        <v/>
      </c>
      <c r="D104" s="7">
        <f>INDEX('Perk Values'!$C$5:$C$247,MATCH($B104,'Perk Values'!$A$5:$A$247,0))</f>
        <v/>
      </c>
      <c r="E104" s="7">
        <f>IF(C104&lt;=D104,"OK","exceeds max rank "&amp;D104)</f>
        <v/>
      </c>
      <c r="F104" s="7">
        <f>INDEX('Perk Values'!$G$5:$K$247,MATCH($B104,'Perk Values'!$A$5:$A$247,0),C104+1)</f>
        <v/>
      </c>
      <c r="G104" s="7">
        <f>INDEX('Perk Values'!$L$5:$P$247,MATCH($B104,'Perk Values'!$A$5:$A$247,0),C104+1)</f>
        <v/>
      </c>
      <c r="H104" s="7">
        <f>INDEX('Perk Values'!$D$5:$D$247,MATCH($B104,'Perk Values'!$A$5:$A$247,0))</f>
        <v/>
      </c>
      <c r="I104" s="7" t="inlineStr"/>
    </row>
    <row r="105">
      <c r="A105" s="7" t="inlineStr">
        <is>
          <t>END</t>
        </is>
      </c>
      <c r="B105" s="7" t="inlineStr">
        <is>
          <t>Good Doggy</t>
        </is>
      </c>
      <c r="C105" s="4">
        <f>VLOOKUP($B$4,Presets!$A$5:$IQ$6,95,FALSE)</f>
        <v/>
      </c>
      <c r="D105" s="7">
        <f>INDEX('Perk Values'!$C$5:$C$247,MATCH($B105,'Perk Values'!$A$5:$A$247,0))</f>
        <v/>
      </c>
      <c r="E105" s="7">
        <f>IF(C105&lt;=D105,"OK","exceeds max rank "&amp;D105)</f>
        <v/>
      </c>
      <c r="F105" s="7">
        <f>INDEX('Perk Values'!$G$5:$K$247,MATCH($B105,'Perk Values'!$A$5:$A$247,0),C105+1)</f>
        <v/>
      </c>
      <c r="G105" s="7">
        <f>INDEX('Perk Values'!$L$5:$P$247,MATCH($B105,'Perk Values'!$A$5:$A$247,0),C105+1)</f>
        <v/>
      </c>
      <c r="H105" s="7">
        <f>INDEX('Perk Values'!$D$5:$D$247,MATCH($B105,'Perk Values'!$A$5:$A$247,0))</f>
        <v/>
      </c>
      <c r="I105" s="7" t="inlineStr"/>
    </row>
    <row r="106">
      <c r="A106" s="7" t="inlineStr">
        <is>
          <t>END</t>
        </is>
      </c>
      <c r="B106" s="7" t="inlineStr">
        <is>
          <t>Hardy</t>
        </is>
      </c>
      <c r="C106" s="4">
        <f>VLOOKUP($B$4,Presets!$A$5:$IQ$6,96,FALSE)</f>
        <v/>
      </c>
      <c r="D106" s="7">
        <f>INDEX('Perk Values'!$C$5:$C$247,MATCH($B106,'Perk Values'!$A$5:$A$247,0))</f>
        <v/>
      </c>
      <c r="E106" s="7">
        <f>IF(C106&lt;=D106,"OK","exceeds max rank "&amp;D106)</f>
        <v/>
      </c>
      <c r="F106" s="7">
        <f>INDEX('Perk Values'!$G$5:$K$247,MATCH($B106,'Perk Values'!$A$5:$A$247,0),C106+1)</f>
        <v/>
      </c>
      <c r="G106" s="7">
        <f>INDEX('Perk Values'!$L$5:$P$247,MATCH($B106,'Perk Values'!$A$5:$A$247,0),C106+1)</f>
        <v/>
      </c>
      <c r="H106" s="7">
        <f>INDEX('Perk Values'!$D$5:$D$247,MATCH($B106,'Perk Values'!$A$5:$A$247,0))</f>
        <v/>
      </c>
      <c r="I106" s="7" t="inlineStr"/>
    </row>
    <row r="107">
      <c r="A107" s="7" t="inlineStr">
        <is>
          <t>END</t>
        </is>
      </c>
      <c r="B107" s="7" t="inlineStr">
        <is>
          <t>Homebody</t>
        </is>
      </c>
      <c r="C107" s="4">
        <f>VLOOKUP($B$4,Presets!$A$5:$IQ$6,97,FALSE)</f>
        <v/>
      </c>
      <c r="D107" s="7">
        <f>INDEX('Perk Values'!$C$5:$C$247,MATCH($B107,'Perk Values'!$A$5:$A$247,0))</f>
        <v/>
      </c>
      <c r="E107" s="7">
        <f>IF(C107&lt;=D107,"OK","exceeds max rank "&amp;D107)</f>
        <v/>
      </c>
      <c r="F107" s="7">
        <f>INDEX('Perk Values'!$G$5:$K$247,MATCH($B107,'Perk Values'!$A$5:$A$247,0),C107+1)</f>
        <v/>
      </c>
      <c r="G107" s="7">
        <f>INDEX('Perk Values'!$L$5:$P$247,MATCH($B107,'Perk Values'!$A$5:$A$247,0),C107+1)</f>
        <v/>
      </c>
      <c r="H107" s="7">
        <f>INDEX('Perk Values'!$D$5:$D$247,MATCH($B107,'Perk Values'!$A$5:$A$247,0))</f>
        <v/>
      </c>
      <c r="I107" s="7" t="inlineStr"/>
    </row>
    <row r="108">
      <c r="A108" s="7" t="inlineStr">
        <is>
          <t>END</t>
        </is>
      </c>
      <c r="B108" s="7" t="inlineStr">
        <is>
          <t>Hydro Fix</t>
        </is>
      </c>
      <c r="C108" s="4">
        <f>VLOOKUP($B$4,Presets!$A$5:$IQ$6,98,FALSE)</f>
        <v/>
      </c>
      <c r="D108" s="7">
        <f>INDEX('Perk Values'!$C$5:$C$247,MATCH($B108,'Perk Values'!$A$5:$A$247,0))</f>
        <v/>
      </c>
      <c r="E108" s="7">
        <f>IF(C108&lt;=D108,"OK","exceeds max rank "&amp;D108)</f>
        <v/>
      </c>
      <c r="F108" s="7">
        <f>INDEX('Perk Values'!$G$5:$K$247,MATCH($B108,'Perk Values'!$A$5:$A$247,0),C108+1)</f>
        <v/>
      </c>
      <c r="G108" s="7">
        <f>INDEX('Perk Values'!$L$5:$P$247,MATCH($B108,'Perk Values'!$A$5:$A$247,0),C108+1)</f>
        <v/>
      </c>
      <c r="H108" s="7">
        <f>INDEX('Perk Values'!$D$5:$D$247,MATCH($B108,'Perk Values'!$A$5:$A$247,0))</f>
        <v/>
      </c>
      <c r="I108" s="7" t="inlineStr"/>
    </row>
    <row r="109">
      <c r="A109" s="7" t="inlineStr">
        <is>
          <t>END</t>
        </is>
      </c>
      <c r="B109" s="7" t="inlineStr">
        <is>
          <t>Iron Stomach</t>
        </is>
      </c>
      <c r="C109" s="4">
        <f>VLOOKUP($B$4,Presets!$A$5:$IQ$6,99,FALSE)</f>
        <v/>
      </c>
      <c r="D109" s="7">
        <f>INDEX('Perk Values'!$C$5:$C$247,MATCH($B109,'Perk Values'!$A$5:$A$247,0))</f>
        <v/>
      </c>
      <c r="E109" s="7">
        <f>IF(C109&lt;=D109,"OK","exceeds max rank "&amp;D109)</f>
        <v/>
      </c>
      <c r="F109" s="7">
        <f>INDEX('Perk Values'!$G$5:$K$247,MATCH($B109,'Perk Values'!$A$5:$A$247,0),C109+1)</f>
        <v/>
      </c>
      <c r="G109" s="7">
        <f>INDEX('Perk Values'!$L$5:$P$247,MATCH($B109,'Perk Values'!$A$5:$A$247,0),C109+1)</f>
        <v/>
      </c>
      <c r="H109" s="7">
        <f>INDEX('Perk Values'!$D$5:$D$247,MATCH($B109,'Perk Values'!$A$5:$A$247,0))</f>
        <v/>
      </c>
      <c r="I109" s="7" t="inlineStr"/>
    </row>
    <row r="110">
      <c r="A110" s="7" t="inlineStr">
        <is>
          <t>END</t>
        </is>
      </c>
      <c r="B110" s="7" t="inlineStr">
        <is>
          <t>Ironclad</t>
        </is>
      </c>
      <c r="C110" s="4">
        <f>VLOOKUP($B$4,Presets!$A$5:$IQ$6,100,FALSE)</f>
        <v/>
      </c>
      <c r="D110" s="7">
        <f>INDEX('Perk Values'!$C$5:$C$247,MATCH($B110,'Perk Values'!$A$5:$A$247,0))</f>
        <v/>
      </c>
      <c r="E110" s="7">
        <f>IF(C110&lt;=D110,"OK","exceeds max rank "&amp;D110)</f>
        <v/>
      </c>
      <c r="F110" s="7">
        <f>INDEX('Perk Values'!$G$5:$K$247,MATCH($B110,'Perk Values'!$A$5:$A$247,0),C110+1)</f>
        <v/>
      </c>
      <c r="G110" s="7">
        <f>INDEX('Perk Values'!$L$5:$P$247,MATCH($B110,'Perk Values'!$A$5:$A$247,0),C110+1)</f>
        <v/>
      </c>
      <c r="H110" s="7">
        <f>INDEX('Perk Values'!$D$5:$D$247,MATCH($B110,'Perk Values'!$A$5:$A$247,0))</f>
        <v/>
      </c>
      <c r="I110" s="7" t="inlineStr"/>
    </row>
    <row r="111">
      <c r="A111" s="7" t="inlineStr">
        <is>
          <t>END</t>
        </is>
      </c>
      <c r="B111" s="7" t="inlineStr">
        <is>
          <t>Lead Belly</t>
        </is>
      </c>
      <c r="C111" s="4">
        <f>VLOOKUP($B$4,Presets!$A$5:$IQ$6,101,FALSE)</f>
        <v/>
      </c>
      <c r="D111" s="7">
        <f>INDEX('Perk Values'!$C$5:$C$247,MATCH($B111,'Perk Values'!$A$5:$A$247,0))</f>
        <v/>
      </c>
      <c r="E111" s="7">
        <f>IF(C111&lt;=D111,"OK","exceeds max rank "&amp;D111)</f>
        <v/>
      </c>
      <c r="F111" s="7">
        <f>INDEX('Perk Values'!$G$5:$K$247,MATCH($B111,'Perk Values'!$A$5:$A$247,0),C111+1)</f>
        <v/>
      </c>
      <c r="G111" s="7">
        <f>INDEX('Perk Values'!$L$5:$P$247,MATCH($B111,'Perk Values'!$A$5:$A$247,0),C111+1)</f>
        <v/>
      </c>
      <c r="H111" s="7">
        <f>INDEX('Perk Values'!$D$5:$D$247,MATCH($B111,'Perk Values'!$A$5:$A$247,0))</f>
        <v/>
      </c>
      <c r="I111" s="7" t="inlineStr"/>
    </row>
    <row r="112">
      <c r="A112" s="7" t="inlineStr">
        <is>
          <t>END</t>
        </is>
      </c>
      <c r="B112" s="7" t="inlineStr">
        <is>
          <t>Life Giver</t>
        </is>
      </c>
      <c r="C112" s="4">
        <f>VLOOKUP($B$4,Presets!$A$5:$IQ$6,102,FALSE)</f>
        <v/>
      </c>
      <c r="D112" s="7">
        <f>INDEX('Perk Values'!$C$5:$C$247,MATCH($B112,'Perk Values'!$A$5:$A$247,0))</f>
        <v/>
      </c>
      <c r="E112" s="7">
        <f>IF(C112&lt;=D112,"OK","exceeds max rank "&amp;D112)</f>
        <v/>
      </c>
      <c r="F112" s="7">
        <f>INDEX('Perk Values'!$G$5:$K$247,MATCH($B112,'Perk Values'!$A$5:$A$247,0),C112+1)</f>
        <v/>
      </c>
      <c r="G112" s="7">
        <f>INDEX('Perk Values'!$L$5:$P$247,MATCH($B112,'Perk Values'!$A$5:$A$247,0),C112+1)</f>
        <v/>
      </c>
      <c r="H112" s="7">
        <f>INDEX('Perk Values'!$D$5:$D$247,MATCH($B112,'Perk Values'!$A$5:$A$247,0))</f>
        <v/>
      </c>
      <c r="I112" s="7" t="inlineStr"/>
    </row>
    <row r="113">
      <c r="A113" s="7" t="inlineStr">
        <is>
          <t>END</t>
        </is>
      </c>
      <c r="B113" s="7" t="inlineStr">
        <is>
          <t>Munchy Resistance</t>
        </is>
      </c>
      <c r="C113" s="4">
        <f>VLOOKUP($B$4,Presets!$A$5:$IQ$6,103,FALSE)</f>
        <v/>
      </c>
      <c r="D113" s="7">
        <f>INDEX('Perk Values'!$C$5:$C$247,MATCH($B113,'Perk Values'!$A$5:$A$247,0))</f>
        <v/>
      </c>
      <c r="E113" s="7">
        <f>IF(C113&lt;=D113,"OK","exceeds max rank "&amp;D113)</f>
        <v/>
      </c>
      <c r="F113" s="7">
        <f>INDEX('Perk Values'!$G$5:$K$247,MATCH($B113,'Perk Values'!$A$5:$A$247,0),C113+1)</f>
        <v/>
      </c>
      <c r="G113" s="7">
        <f>INDEX('Perk Values'!$L$5:$P$247,MATCH($B113,'Perk Values'!$A$5:$A$247,0),C113+1)</f>
        <v/>
      </c>
      <c r="H113" s="7">
        <f>INDEX('Perk Values'!$D$5:$D$247,MATCH($B113,'Perk Values'!$A$5:$A$247,0))</f>
        <v/>
      </c>
      <c r="I113" s="7" t="inlineStr"/>
    </row>
    <row r="114">
      <c r="A114" s="7" t="inlineStr">
        <is>
          <t>END</t>
        </is>
      </c>
      <c r="B114" s="7" t="inlineStr">
        <is>
          <t>Natural Resistance</t>
        </is>
      </c>
      <c r="C114" s="4">
        <f>VLOOKUP($B$4,Presets!$A$5:$IQ$6,104,FALSE)</f>
        <v/>
      </c>
      <c r="D114" s="7">
        <f>INDEX('Perk Values'!$C$5:$C$247,MATCH($B114,'Perk Values'!$A$5:$A$247,0))</f>
        <v/>
      </c>
      <c r="E114" s="7">
        <f>IF(C114&lt;=D114,"OK","exceeds max rank "&amp;D114)</f>
        <v/>
      </c>
      <c r="F114" s="7">
        <f>INDEX('Perk Values'!$G$5:$K$247,MATCH($B114,'Perk Values'!$A$5:$A$247,0),C114+1)</f>
        <v/>
      </c>
      <c r="G114" s="7">
        <f>INDEX('Perk Values'!$L$5:$P$247,MATCH($B114,'Perk Values'!$A$5:$A$247,0),C114+1)</f>
        <v/>
      </c>
      <c r="H114" s="7">
        <f>INDEX('Perk Values'!$D$5:$D$247,MATCH($B114,'Perk Values'!$A$5:$A$247,0))</f>
        <v/>
      </c>
      <c r="I114" s="7" t="inlineStr"/>
    </row>
    <row r="115">
      <c r="A115" s="7" t="inlineStr">
        <is>
          <t>END</t>
        </is>
      </c>
      <c r="B115" s="7" t="inlineStr">
        <is>
          <t>Nocturnal Fortitude</t>
        </is>
      </c>
      <c r="C115" s="4">
        <f>VLOOKUP($B$4,Presets!$A$5:$IQ$6,105,FALSE)</f>
        <v/>
      </c>
      <c r="D115" s="7">
        <f>INDEX('Perk Values'!$C$5:$C$247,MATCH($B115,'Perk Values'!$A$5:$A$247,0))</f>
        <v/>
      </c>
      <c r="E115" s="7">
        <f>IF(C115&lt;=D115,"OK","exceeds max rank "&amp;D115)</f>
        <v/>
      </c>
      <c r="F115" s="7">
        <f>INDEX('Perk Values'!$G$5:$K$247,MATCH($B115,'Perk Values'!$A$5:$A$247,0),C115+1)</f>
        <v/>
      </c>
      <c r="G115" s="7">
        <f>INDEX('Perk Values'!$L$5:$P$247,MATCH($B115,'Perk Values'!$A$5:$A$247,0),C115+1)</f>
        <v/>
      </c>
      <c r="H115" s="7">
        <f>INDEX('Perk Values'!$D$5:$D$247,MATCH($B115,'Perk Values'!$A$5:$A$247,0))</f>
        <v/>
      </c>
      <c r="I115" s="7" t="inlineStr"/>
    </row>
    <row r="116">
      <c r="A116" s="7" t="inlineStr">
        <is>
          <t>END</t>
        </is>
      </c>
      <c r="B116" s="7" t="inlineStr">
        <is>
          <t>Photosynthetic</t>
        </is>
      </c>
      <c r="C116" s="4">
        <f>VLOOKUP($B$4,Presets!$A$5:$IQ$6,106,FALSE)</f>
        <v/>
      </c>
      <c r="D116" s="7">
        <f>INDEX('Perk Values'!$C$5:$C$247,MATCH($B116,'Perk Values'!$A$5:$A$247,0))</f>
        <v/>
      </c>
      <c r="E116" s="7">
        <f>IF(C116&lt;=D116,"OK","exceeds max rank "&amp;D116)</f>
        <v/>
      </c>
      <c r="F116" s="7">
        <f>INDEX('Perk Values'!$G$5:$K$247,MATCH($B116,'Perk Values'!$A$5:$A$247,0),C116+1)</f>
        <v/>
      </c>
      <c r="G116" s="7">
        <f>INDEX('Perk Values'!$L$5:$P$247,MATCH($B116,'Perk Values'!$A$5:$A$247,0),C116+1)</f>
        <v/>
      </c>
      <c r="H116" s="7">
        <f>INDEX('Perk Values'!$D$5:$D$247,MATCH($B116,'Perk Values'!$A$5:$A$247,0))</f>
        <v/>
      </c>
      <c r="I116" s="7" t="inlineStr"/>
    </row>
    <row r="117">
      <c r="A117" s="7" t="inlineStr">
        <is>
          <t>END</t>
        </is>
      </c>
      <c r="B117" s="7" t="inlineStr">
        <is>
          <t>Professional Drinker</t>
        </is>
      </c>
      <c r="C117" s="4">
        <f>VLOOKUP($B$4,Presets!$A$5:$IQ$6,107,FALSE)</f>
        <v/>
      </c>
      <c r="D117" s="7">
        <f>INDEX('Perk Values'!$C$5:$C$247,MATCH($B117,'Perk Values'!$A$5:$A$247,0))</f>
        <v/>
      </c>
      <c r="E117" s="7">
        <f>IF(C117&lt;=D117,"OK","exceeds max rank "&amp;D117)</f>
        <v/>
      </c>
      <c r="F117" s="7">
        <f>INDEX('Perk Values'!$G$5:$K$247,MATCH($B117,'Perk Values'!$A$5:$A$247,0),C117+1)</f>
        <v/>
      </c>
      <c r="G117" s="7">
        <f>INDEX('Perk Values'!$L$5:$P$247,MATCH($B117,'Perk Values'!$A$5:$A$247,0),C117+1)</f>
        <v/>
      </c>
      <c r="H117" s="7">
        <f>INDEX('Perk Values'!$D$5:$D$247,MATCH($B117,'Perk Values'!$A$5:$A$247,0))</f>
        <v/>
      </c>
      <c r="I117" s="7" t="inlineStr"/>
    </row>
    <row r="118">
      <c r="A118" s="7" t="inlineStr">
        <is>
          <t>END</t>
        </is>
      </c>
      <c r="B118" s="7" t="inlineStr">
        <is>
          <t>Rad Resistant</t>
        </is>
      </c>
      <c r="C118" s="4">
        <f>VLOOKUP($B$4,Presets!$A$5:$IQ$6,108,FALSE)</f>
        <v/>
      </c>
      <c r="D118" s="7">
        <f>INDEX('Perk Values'!$C$5:$C$247,MATCH($B118,'Perk Values'!$A$5:$A$247,0))</f>
        <v/>
      </c>
      <c r="E118" s="7">
        <f>IF(C118&lt;=D118,"OK","exceeds max rank "&amp;D118)</f>
        <v/>
      </c>
      <c r="F118" s="7">
        <f>INDEX('Perk Values'!$G$5:$K$247,MATCH($B118,'Perk Values'!$A$5:$A$247,0),C118+1)</f>
        <v/>
      </c>
      <c r="G118" s="7">
        <f>INDEX('Perk Values'!$L$5:$P$247,MATCH($B118,'Perk Values'!$A$5:$A$247,0),C118+1)</f>
        <v/>
      </c>
      <c r="H118" s="7">
        <f>INDEX('Perk Values'!$D$5:$D$247,MATCH($B118,'Perk Values'!$A$5:$A$247,0))</f>
        <v/>
      </c>
      <c r="I118" s="7" t="inlineStr"/>
    </row>
    <row r="119">
      <c r="A119" s="7" t="inlineStr">
        <is>
          <t>END</t>
        </is>
      </c>
      <c r="B119" s="7" t="inlineStr">
        <is>
          <t>Radicool</t>
        </is>
      </c>
      <c r="C119" s="4">
        <f>VLOOKUP($B$4,Presets!$A$5:$IQ$6,109,FALSE)</f>
        <v/>
      </c>
      <c r="D119" s="7">
        <f>INDEX('Perk Values'!$C$5:$C$247,MATCH($B119,'Perk Values'!$A$5:$A$247,0))</f>
        <v/>
      </c>
      <c r="E119" s="7">
        <f>IF(C119&lt;=D119,"OK","exceeds max rank "&amp;D119)</f>
        <v/>
      </c>
      <c r="F119" s="7">
        <f>INDEX('Perk Values'!$G$5:$K$247,MATCH($B119,'Perk Values'!$A$5:$A$247,0),C119+1)</f>
        <v/>
      </c>
      <c r="G119" s="7">
        <f>INDEX('Perk Values'!$L$5:$P$247,MATCH($B119,'Perk Values'!$A$5:$A$247,0),C119+1)</f>
        <v/>
      </c>
      <c r="H119" s="7">
        <f>INDEX('Perk Values'!$D$5:$D$247,MATCH($B119,'Perk Values'!$A$5:$A$247,0))</f>
        <v/>
      </c>
      <c r="I119" s="7" t="inlineStr"/>
    </row>
    <row r="120">
      <c r="A120" s="7" t="inlineStr">
        <is>
          <t>END</t>
        </is>
      </c>
      <c r="B120" s="7" t="inlineStr">
        <is>
          <t>Rejuvenated</t>
        </is>
      </c>
      <c r="C120" s="4">
        <f>VLOOKUP($B$4,Presets!$A$5:$IQ$6,110,FALSE)</f>
        <v/>
      </c>
      <c r="D120" s="7">
        <f>INDEX('Perk Values'!$C$5:$C$247,MATCH($B120,'Perk Values'!$A$5:$A$247,0))</f>
        <v/>
      </c>
      <c r="E120" s="7">
        <f>IF(C120&lt;=D120,"OK","exceeds max rank "&amp;D120)</f>
        <v/>
      </c>
      <c r="F120" s="7">
        <f>INDEX('Perk Values'!$G$5:$K$247,MATCH($B120,'Perk Values'!$A$5:$A$247,0),C120+1)</f>
        <v/>
      </c>
      <c r="G120" s="7">
        <f>INDEX('Perk Values'!$L$5:$P$247,MATCH($B120,'Perk Values'!$A$5:$A$247,0),C120+1)</f>
        <v/>
      </c>
      <c r="H120" s="7">
        <f>INDEX('Perk Values'!$D$5:$D$247,MATCH($B120,'Perk Values'!$A$5:$A$247,0))</f>
        <v/>
      </c>
      <c r="I120" s="7" t="inlineStr"/>
    </row>
    <row r="121">
      <c r="A121" s="7" t="inlineStr">
        <is>
          <t>END</t>
        </is>
      </c>
      <c r="B121" s="7" t="inlineStr">
        <is>
          <t>Slow Metabolizer</t>
        </is>
      </c>
      <c r="C121" s="4">
        <f>VLOOKUP($B$4,Presets!$A$5:$IQ$6,111,FALSE)</f>
        <v/>
      </c>
      <c r="D121" s="7">
        <f>INDEX('Perk Values'!$C$5:$C$247,MATCH($B121,'Perk Values'!$A$5:$A$247,0))</f>
        <v/>
      </c>
      <c r="E121" s="7">
        <f>IF(C121&lt;=D121,"OK","exceeds max rank "&amp;D121)</f>
        <v/>
      </c>
      <c r="F121" s="7">
        <f>INDEX('Perk Values'!$G$5:$K$247,MATCH($B121,'Perk Values'!$A$5:$A$247,0),C121+1)</f>
        <v/>
      </c>
      <c r="G121" s="7">
        <f>INDEX('Perk Values'!$L$5:$P$247,MATCH($B121,'Perk Values'!$A$5:$A$247,0),C121+1)</f>
        <v/>
      </c>
      <c r="H121" s="7">
        <f>INDEX('Perk Values'!$D$5:$D$247,MATCH($B121,'Perk Values'!$A$5:$A$247,0))</f>
        <v/>
      </c>
      <c r="I121" s="7" t="inlineStr"/>
    </row>
    <row r="122">
      <c r="A122" s="7" t="inlineStr">
        <is>
          <t>END</t>
        </is>
      </c>
      <c r="B122" s="7" t="inlineStr">
        <is>
          <t>Solar Powered</t>
        </is>
      </c>
      <c r="C122" s="4">
        <f>VLOOKUP($B$4,Presets!$A$5:$IQ$6,112,FALSE)</f>
        <v/>
      </c>
      <c r="D122" s="7">
        <f>INDEX('Perk Values'!$C$5:$C$247,MATCH($B122,'Perk Values'!$A$5:$A$247,0))</f>
        <v/>
      </c>
      <c r="E122" s="7">
        <f>IF(C122&lt;=D122,"OK","exceeds max rank "&amp;D122)</f>
        <v/>
      </c>
      <c r="F122" s="7">
        <f>INDEX('Perk Values'!$G$5:$K$247,MATCH($B122,'Perk Values'!$A$5:$A$247,0),C122+1)</f>
        <v/>
      </c>
      <c r="G122" s="7">
        <f>INDEX('Perk Values'!$L$5:$P$247,MATCH($B122,'Perk Values'!$A$5:$A$247,0),C122+1)</f>
        <v/>
      </c>
      <c r="H122" s="7">
        <f>INDEX('Perk Values'!$D$5:$D$247,MATCH($B122,'Perk Values'!$A$5:$A$247,0))</f>
        <v/>
      </c>
      <c r="I122" s="7" t="inlineStr"/>
    </row>
    <row r="123">
      <c r="A123" s="7" t="inlineStr">
        <is>
          <t>END</t>
        </is>
      </c>
      <c r="B123" s="7" t="inlineStr">
        <is>
          <t>Starched Genes</t>
        </is>
      </c>
      <c r="C123" s="4">
        <f>VLOOKUP($B$4,Presets!$A$5:$IQ$6,113,FALSE)</f>
        <v/>
      </c>
      <c r="D123" s="7">
        <f>INDEX('Perk Values'!$C$5:$C$247,MATCH($B123,'Perk Values'!$A$5:$A$247,0))</f>
        <v/>
      </c>
      <c r="E123" s="7">
        <f>IF(C123&lt;=D123,"OK","exceeds max rank "&amp;D123)</f>
        <v/>
      </c>
      <c r="F123" s="7">
        <f>INDEX('Perk Values'!$G$5:$K$247,MATCH($B123,'Perk Values'!$A$5:$A$247,0),C123+1)</f>
        <v/>
      </c>
      <c r="G123" s="7">
        <f>INDEX('Perk Values'!$L$5:$P$247,MATCH($B123,'Perk Values'!$A$5:$A$247,0),C123+1)</f>
        <v/>
      </c>
      <c r="H123" s="7">
        <f>INDEX('Perk Values'!$D$5:$D$247,MATCH($B123,'Perk Values'!$A$5:$A$247,0))</f>
        <v/>
      </c>
      <c r="I123" s="7" t="inlineStr"/>
    </row>
    <row r="124">
      <c r="A124" s="7" t="inlineStr">
        <is>
          <t>END</t>
        </is>
      </c>
      <c r="B124" s="7" t="inlineStr">
        <is>
          <t>Sun Kissed</t>
        </is>
      </c>
      <c r="C124" s="4">
        <f>VLOOKUP($B$4,Presets!$A$5:$IQ$6,114,FALSE)</f>
        <v/>
      </c>
      <c r="D124" s="7">
        <f>INDEX('Perk Values'!$C$5:$C$247,MATCH($B124,'Perk Values'!$A$5:$A$247,0))</f>
        <v/>
      </c>
      <c r="E124" s="7">
        <f>IF(C124&lt;=D124,"OK","exceeds max rank "&amp;D124)</f>
        <v/>
      </c>
      <c r="F124" s="7">
        <f>INDEX('Perk Values'!$G$5:$K$247,MATCH($B124,'Perk Values'!$A$5:$A$247,0),C124+1)</f>
        <v/>
      </c>
      <c r="G124" s="7">
        <f>INDEX('Perk Values'!$L$5:$P$247,MATCH($B124,'Perk Values'!$A$5:$A$247,0),C124+1)</f>
        <v/>
      </c>
      <c r="H124" s="7">
        <f>INDEX('Perk Values'!$D$5:$D$247,MATCH($B124,'Perk Values'!$A$5:$A$247,0))</f>
        <v/>
      </c>
      <c r="I124" s="7" t="inlineStr"/>
    </row>
    <row r="125">
      <c r="A125" s="7" t="inlineStr">
        <is>
          <t>END</t>
        </is>
      </c>
      <c r="B125" s="7" t="inlineStr">
        <is>
          <t>Thirst Quencher</t>
        </is>
      </c>
      <c r="C125" s="4">
        <f>VLOOKUP($B$4,Presets!$A$5:$IQ$6,115,FALSE)</f>
        <v/>
      </c>
      <c r="D125" s="7">
        <f>INDEX('Perk Values'!$C$5:$C$247,MATCH($B125,'Perk Values'!$A$5:$A$247,0))</f>
        <v/>
      </c>
      <c r="E125" s="7">
        <f>IF(C125&lt;=D125,"OK","exceeds max rank "&amp;D125)</f>
        <v/>
      </c>
      <c r="F125" s="7">
        <f>INDEX('Perk Values'!$G$5:$K$247,MATCH($B125,'Perk Values'!$A$5:$A$247,0),C125+1)</f>
        <v/>
      </c>
      <c r="G125" s="7">
        <f>INDEX('Perk Values'!$L$5:$P$247,MATCH($B125,'Perk Values'!$A$5:$A$247,0),C125+1)</f>
        <v/>
      </c>
      <c r="H125" s="7">
        <f>INDEX('Perk Values'!$D$5:$D$247,MATCH($B125,'Perk Values'!$A$5:$A$247,0))</f>
        <v/>
      </c>
      <c r="I125" s="7" t="inlineStr"/>
    </row>
    <row r="126">
      <c r="A126" s="7" t="inlineStr">
        <is>
          <t>END</t>
        </is>
      </c>
      <c r="B126" s="7" t="inlineStr">
        <is>
          <t>Thru-hiker</t>
        </is>
      </c>
      <c r="C126" s="4">
        <f>VLOOKUP($B$4,Presets!$A$5:$IQ$6,116,FALSE)</f>
        <v/>
      </c>
      <c r="D126" s="7">
        <f>INDEX('Perk Values'!$C$5:$C$247,MATCH($B126,'Perk Values'!$A$5:$A$247,0))</f>
        <v/>
      </c>
      <c r="E126" s="7">
        <f>IF(C126&lt;=D126,"OK","exceeds max rank "&amp;D126)</f>
        <v/>
      </c>
      <c r="F126" s="7">
        <f>INDEX('Perk Values'!$G$5:$K$247,MATCH($B126,'Perk Values'!$A$5:$A$247,0),C126+1)</f>
        <v/>
      </c>
      <c r="G126" s="7">
        <f>INDEX('Perk Values'!$L$5:$P$247,MATCH($B126,'Perk Values'!$A$5:$A$247,0),C126+1)</f>
        <v/>
      </c>
      <c r="H126" s="7">
        <f>INDEX('Perk Values'!$D$5:$D$247,MATCH($B126,'Perk Values'!$A$5:$A$247,0))</f>
        <v/>
      </c>
      <c r="I126" s="7" t="inlineStr"/>
    </row>
    <row r="127">
      <c r="A127" s="7" t="inlineStr">
        <is>
          <t>END</t>
        </is>
      </c>
      <c r="B127" s="7" t="inlineStr">
        <is>
          <t>Vaccinated</t>
        </is>
      </c>
      <c r="C127" s="4">
        <f>VLOOKUP($B$4,Presets!$A$5:$IQ$6,117,FALSE)</f>
        <v/>
      </c>
      <c r="D127" s="7">
        <f>INDEX('Perk Values'!$C$5:$C$247,MATCH($B127,'Perk Values'!$A$5:$A$247,0))</f>
        <v/>
      </c>
      <c r="E127" s="7">
        <f>IF(C127&lt;=D127,"OK","exceeds max rank "&amp;D127)</f>
        <v/>
      </c>
      <c r="F127" s="7">
        <f>INDEX('Perk Values'!$G$5:$K$247,MATCH($B127,'Perk Values'!$A$5:$A$247,0),C127+1)</f>
        <v/>
      </c>
      <c r="G127" s="7">
        <f>INDEX('Perk Values'!$L$5:$P$247,MATCH($B127,'Perk Values'!$A$5:$A$247,0),C127+1)</f>
        <v/>
      </c>
      <c r="H127" s="7">
        <f>INDEX('Perk Values'!$D$5:$D$247,MATCH($B127,'Perk Values'!$A$5:$A$247,0))</f>
        <v/>
      </c>
      <c r="I127" s="7" t="inlineStr"/>
    </row>
    <row r="128">
      <c r="A128" s="7" t="inlineStr">
        <is>
          <t>END</t>
        </is>
      </c>
      <c r="B128" s="7" t="inlineStr">
        <is>
          <t>Rad Sponge</t>
        </is>
      </c>
      <c r="C128" s="4">
        <f>VLOOKUP($B$4,Presets!$A$5:$IQ$6,118,FALSE)</f>
        <v/>
      </c>
      <c r="D128" s="7">
        <f>INDEX('Perk Values'!$C$5:$C$247,MATCH($B128,'Perk Values'!$A$5:$A$247,0))</f>
        <v/>
      </c>
      <c r="E128" s="7">
        <f>IF(C128&lt;=D128,"OK","exceeds max rank "&amp;D128)</f>
        <v/>
      </c>
      <c r="F128" s="7">
        <f>INDEX('Perk Values'!$G$5:$K$247,MATCH($B128,'Perk Values'!$A$5:$A$247,0),C128+1)</f>
        <v/>
      </c>
      <c r="G128" s="7">
        <f>INDEX('Perk Values'!$L$5:$P$247,MATCH($B128,'Perk Values'!$A$5:$A$247,0),C128+1)</f>
        <v/>
      </c>
      <c r="H128" s="7">
        <f>INDEX('Perk Values'!$D$5:$D$247,MATCH($B128,'Perk Values'!$A$5:$A$247,0))</f>
        <v/>
      </c>
      <c r="I128" s="7" t="inlineStr"/>
    </row>
    <row r="129">
      <c r="A129" s="7" t="inlineStr">
        <is>
          <t>END</t>
        </is>
      </c>
      <c r="B129" s="7" t="inlineStr">
        <is>
          <t>Chem Diet</t>
        </is>
      </c>
      <c r="C129" s="4">
        <f>VLOOKUP($B$4,Presets!$A$5:$IQ$6,119,FALSE)</f>
        <v/>
      </c>
      <c r="D129" s="7">
        <f>INDEX('Perk Values'!$C$5:$C$247,MATCH($B129,'Perk Values'!$A$5:$A$247,0))</f>
        <v/>
      </c>
      <c r="E129" s="7">
        <f>IF(C129&lt;=D129,"OK","exceeds max rank "&amp;D129)</f>
        <v/>
      </c>
      <c r="F129" s="7">
        <f>INDEX('Perk Values'!$G$5:$K$247,MATCH($B129,'Perk Values'!$A$5:$A$247,0),C129+1)</f>
        <v/>
      </c>
      <c r="G129" s="7">
        <f>INDEX('Perk Values'!$L$5:$P$247,MATCH($B129,'Perk Values'!$A$5:$A$247,0),C129+1)</f>
        <v/>
      </c>
      <c r="H129" s="7">
        <f>INDEX('Perk Values'!$D$5:$D$247,MATCH($B129,'Perk Values'!$A$5:$A$247,0))</f>
        <v/>
      </c>
      <c r="I129" s="7" t="inlineStr"/>
    </row>
    <row r="130">
      <c r="A130" s="7" t="inlineStr">
        <is>
          <t>END</t>
        </is>
      </c>
      <c r="B130" s="7" t="inlineStr">
        <is>
          <t>Glowing Gut</t>
        </is>
      </c>
      <c r="C130" s="4">
        <f>VLOOKUP($B$4,Presets!$A$5:$IQ$6,120,FALSE)</f>
        <v/>
      </c>
      <c r="D130" s="7">
        <f>INDEX('Perk Values'!$C$5:$C$247,MATCH($B130,'Perk Values'!$A$5:$A$247,0))</f>
        <v/>
      </c>
      <c r="E130" s="7">
        <f>IF(C130&lt;=D130,"OK","exceeds max rank "&amp;D130)</f>
        <v/>
      </c>
      <c r="F130" s="7">
        <f>INDEX('Perk Values'!$G$5:$K$247,MATCH($B130,'Perk Values'!$A$5:$A$247,0),C130+1)</f>
        <v/>
      </c>
      <c r="G130" s="7">
        <f>INDEX('Perk Values'!$L$5:$P$247,MATCH($B130,'Perk Values'!$A$5:$A$247,0),C130+1)</f>
        <v/>
      </c>
      <c r="H130" s="7">
        <f>INDEX('Perk Values'!$D$5:$D$247,MATCH($B130,'Perk Values'!$A$5:$A$247,0))</f>
        <v/>
      </c>
      <c r="I130" s="7" t="inlineStr"/>
    </row>
    <row r="131">
      <c r="A131" s="7" t="inlineStr">
        <is>
          <t>END</t>
        </is>
      </c>
      <c r="B131" s="7" t="inlineStr">
        <is>
          <t>Radiation Power</t>
        </is>
      </c>
      <c r="C131" s="4">
        <f>VLOOKUP($B$4,Presets!$A$5:$IQ$6,121,FALSE)</f>
        <v/>
      </c>
      <c r="D131" s="7">
        <f>INDEX('Perk Values'!$C$5:$C$247,MATCH($B131,'Perk Values'!$A$5:$A$247,0))</f>
        <v/>
      </c>
      <c r="E131" s="7">
        <f>IF(C131&lt;=D131,"OK","exceeds max rank "&amp;D131)</f>
        <v/>
      </c>
      <c r="F131" s="7">
        <f>INDEX('Perk Values'!$G$5:$K$247,MATCH($B131,'Perk Values'!$A$5:$A$247,0),C131+1)</f>
        <v/>
      </c>
      <c r="G131" s="7">
        <f>INDEX('Perk Values'!$L$5:$P$247,MATCH($B131,'Perk Values'!$A$5:$A$247,0),C131+1)</f>
        <v/>
      </c>
      <c r="H131" s="7">
        <f>INDEX('Perk Values'!$D$5:$D$247,MATCH($B131,'Perk Values'!$A$5:$A$247,0))</f>
        <v/>
      </c>
      <c r="I131" s="7" t="inlineStr"/>
    </row>
    <row r="132">
      <c r="A132" s="7" t="inlineStr">
        <is>
          <t>END</t>
        </is>
      </c>
      <c r="B132" s="7" t="inlineStr">
        <is>
          <t>Thick Skin</t>
        </is>
      </c>
      <c r="C132" s="4">
        <f>VLOOKUP($B$4,Presets!$A$5:$IQ$6,122,FALSE)</f>
        <v/>
      </c>
      <c r="D132" s="7">
        <f>INDEX('Perk Values'!$C$5:$C$247,MATCH($B132,'Perk Values'!$A$5:$A$247,0))</f>
        <v/>
      </c>
      <c r="E132" s="7">
        <f>IF(C132&lt;=D132,"OK","exceeds max rank "&amp;D132)</f>
        <v/>
      </c>
      <c r="F132" s="7">
        <f>INDEX('Perk Values'!$G$5:$K$247,MATCH($B132,'Perk Values'!$A$5:$A$247,0),C132+1)</f>
        <v/>
      </c>
      <c r="G132" s="7">
        <f>INDEX('Perk Values'!$L$5:$P$247,MATCH($B132,'Perk Values'!$A$5:$A$247,0),C132+1)</f>
        <v/>
      </c>
      <c r="H132" s="7">
        <f>INDEX('Perk Values'!$D$5:$D$247,MATCH($B132,'Perk Values'!$A$5:$A$247,0))</f>
        <v/>
      </c>
      <c r="I132" s="7" t="inlineStr"/>
    </row>
    <row r="133">
      <c r="A133" s="7" t="inlineStr">
        <is>
          <t>CHA</t>
        </is>
      </c>
      <c r="B133" s="7" t="inlineStr">
        <is>
          <t>Animal Friend</t>
        </is>
      </c>
      <c r="C133" s="4">
        <f>VLOOKUP($B$4,Presets!$A$5:$IQ$6,123,FALSE)</f>
        <v/>
      </c>
      <c r="D133" s="7">
        <f>INDEX('Perk Values'!$C$5:$C$247,MATCH($B133,'Perk Values'!$A$5:$A$247,0))</f>
        <v/>
      </c>
      <c r="E133" s="7">
        <f>IF(C133&lt;=D133,"OK","exceeds max rank "&amp;D133)</f>
        <v/>
      </c>
      <c r="F133" s="7">
        <f>INDEX('Perk Values'!$G$5:$K$247,MATCH($B133,'Perk Values'!$A$5:$A$247,0),C133+1)</f>
        <v/>
      </c>
      <c r="G133" s="7">
        <f>INDEX('Perk Values'!$L$5:$P$247,MATCH($B133,'Perk Values'!$A$5:$A$247,0),C133+1)</f>
        <v/>
      </c>
      <c r="H133" s="7">
        <f>INDEX('Perk Values'!$D$5:$D$247,MATCH($B133,'Perk Values'!$A$5:$A$247,0))</f>
        <v/>
      </c>
      <c r="I133" s="7" t="inlineStr"/>
    </row>
    <row r="134">
      <c r="A134" s="7" t="inlineStr">
        <is>
          <t>CHA</t>
        </is>
      </c>
      <c r="B134" s="7" t="inlineStr">
        <is>
          <t>Anti-Epidemic</t>
        </is>
      </c>
      <c r="C134" s="4">
        <f>VLOOKUP($B$4,Presets!$A$5:$IQ$6,124,FALSE)</f>
        <v/>
      </c>
      <c r="D134" s="7">
        <f>INDEX('Perk Values'!$C$5:$C$247,MATCH($B134,'Perk Values'!$A$5:$A$247,0))</f>
        <v/>
      </c>
      <c r="E134" s="7">
        <f>IF(C134&lt;=D134,"OK","exceeds max rank "&amp;D134)</f>
        <v/>
      </c>
      <c r="F134" s="7">
        <f>INDEX('Perk Values'!$G$5:$K$247,MATCH($B134,'Perk Values'!$A$5:$A$247,0),C134+1)</f>
        <v/>
      </c>
      <c r="G134" s="7">
        <f>INDEX('Perk Values'!$L$5:$P$247,MATCH($B134,'Perk Values'!$A$5:$A$247,0),C134+1)</f>
        <v/>
      </c>
      <c r="H134" s="7">
        <f>INDEX('Perk Values'!$D$5:$D$247,MATCH($B134,'Perk Values'!$A$5:$A$247,0))</f>
        <v/>
      </c>
      <c r="I134" s="7" t="inlineStr"/>
    </row>
    <row r="135">
      <c r="A135" s="7" t="inlineStr">
        <is>
          <t>CHA</t>
        </is>
      </c>
      <c r="B135" s="7" t="inlineStr">
        <is>
          <t>Bodyguards</t>
        </is>
      </c>
      <c r="C135" s="4">
        <f>VLOOKUP($B$4,Presets!$A$5:$IQ$6,125,FALSE)</f>
        <v/>
      </c>
      <c r="D135" s="7">
        <f>INDEX('Perk Values'!$C$5:$C$247,MATCH($B135,'Perk Values'!$A$5:$A$247,0))</f>
        <v/>
      </c>
      <c r="E135" s="7">
        <f>IF(C135&lt;=D135,"OK","exceeds max rank "&amp;D135)</f>
        <v/>
      </c>
      <c r="F135" s="7">
        <f>INDEX('Perk Values'!$G$5:$K$247,MATCH($B135,'Perk Values'!$A$5:$A$247,0),C135+1)</f>
        <v/>
      </c>
      <c r="G135" s="7">
        <f>INDEX('Perk Values'!$L$5:$P$247,MATCH($B135,'Perk Values'!$A$5:$A$247,0),C135+1)</f>
        <v/>
      </c>
      <c r="H135" s="7">
        <f>INDEX('Perk Values'!$D$5:$D$247,MATCH($B135,'Perk Values'!$A$5:$A$247,0))</f>
        <v/>
      </c>
      <c r="I135" s="7" t="inlineStr"/>
    </row>
    <row r="136">
      <c r="A136" s="7" t="inlineStr">
        <is>
          <t>CHA</t>
        </is>
      </c>
      <c r="B136" s="7" t="inlineStr">
        <is>
          <t>E.M.T.</t>
        </is>
      </c>
      <c r="C136" s="4">
        <f>VLOOKUP($B$4,Presets!$A$5:$IQ$6,126,FALSE)</f>
        <v/>
      </c>
      <c r="D136" s="7">
        <f>INDEX('Perk Values'!$C$5:$C$247,MATCH($B136,'Perk Values'!$A$5:$A$247,0))</f>
        <v/>
      </c>
      <c r="E136" s="7">
        <f>IF(C136&lt;=D136,"OK","exceeds max rank "&amp;D136)</f>
        <v/>
      </c>
      <c r="F136" s="7">
        <f>INDEX('Perk Values'!$G$5:$K$247,MATCH($B136,'Perk Values'!$A$5:$A$247,0),C136+1)</f>
        <v/>
      </c>
      <c r="G136" s="7">
        <f>INDEX('Perk Values'!$L$5:$P$247,MATCH($B136,'Perk Values'!$A$5:$A$247,0),C136+1)</f>
        <v/>
      </c>
      <c r="H136" s="7">
        <f>INDEX('Perk Values'!$D$5:$D$247,MATCH($B136,'Perk Values'!$A$5:$A$247,0))</f>
        <v/>
      </c>
      <c r="I136" s="7" t="inlineStr"/>
    </row>
    <row r="137">
      <c r="A137" s="7" t="inlineStr">
        <is>
          <t>CHA</t>
        </is>
      </c>
      <c r="B137" s="7" t="inlineStr">
        <is>
          <t>Friendly Fire</t>
        </is>
      </c>
      <c r="C137" s="4">
        <f>VLOOKUP($B$4,Presets!$A$5:$IQ$6,127,FALSE)</f>
        <v/>
      </c>
      <c r="D137" s="7">
        <f>INDEX('Perk Values'!$C$5:$C$247,MATCH($B137,'Perk Values'!$A$5:$A$247,0))</f>
        <v/>
      </c>
      <c r="E137" s="7">
        <f>IF(C137&lt;=D137,"OK","exceeds max rank "&amp;D137)</f>
        <v/>
      </c>
      <c r="F137" s="7">
        <f>INDEX('Perk Values'!$G$5:$K$247,MATCH($B137,'Perk Values'!$A$5:$A$247,0),C137+1)</f>
        <v/>
      </c>
      <c r="G137" s="7">
        <f>INDEX('Perk Values'!$L$5:$P$247,MATCH($B137,'Perk Values'!$A$5:$A$247,0),C137+1)</f>
        <v/>
      </c>
      <c r="H137" s="7">
        <f>INDEX('Perk Values'!$D$5:$D$247,MATCH($B137,'Perk Values'!$A$5:$A$247,0))</f>
        <v/>
      </c>
      <c r="I137" s="7" t="inlineStr"/>
    </row>
    <row r="138">
      <c r="A138" s="7" t="inlineStr">
        <is>
          <t>CHA</t>
        </is>
      </c>
      <c r="B138" s="7" t="inlineStr">
        <is>
          <t>Happy Camper</t>
        </is>
      </c>
      <c r="C138" s="4">
        <f>VLOOKUP($B$4,Presets!$A$5:$IQ$6,128,FALSE)</f>
        <v/>
      </c>
      <c r="D138" s="7">
        <f>INDEX('Perk Values'!$C$5:$C$247,MATCH($B138,'Perk Values'!$A$5:$A$247,0))</f>
        <v/>
      </c>
      <c r="E138" s="7">
        <f>IF(C138&lt;=D138,"OK","exceeds max rank "&amp;D138)</f>
        <v/>
      </c>
      <c r="F138" s="7">
        <f>INDEX('Perk Values'!$G$5:$K$247,MATCH($B138,'Perk Values'!$A$5:$A$247,0),C138+1)</f>
        <v/>
      </c>
      <c r="G138" s="7">
        <f>INDEX('Perk Values'!$L$5:$P$247,MATCH($B138,'Perk Values'!$A$5:$A$247,0),C138+1)</f>
        <v/>
      </c>
      <c r="H138" s="7">
        <f>INDEX('Perk Values'!$D$5:$D$247,MATCH($B138,'Perk Values'!$A$5:$A$247,0))</f>
        <v/>
      </c>
      <c r="I138" s="7" t="inlineStr"/>
    </row>
    <row r="139">
      <c r="A139" s="7" t="inlineStr">
        <is>
          <t>CHA</t>
        </is>
      </c>
      <c r="B139" s="7" t="inlineStr">
        <is>
          <t>Happy-Go-Lucky</t>
        </is>
      </c>
      <c r="C139" s="4">
        <f>VLOOKUP($B$4,Presets!$A$5:$IQ$6,129,FALSE)</f>
        <v/>
      </c>
      <c r="D139" s="7">
        <f>INDEX('Perk Values'!$C$5:$C$247,MATCH($B139,'Perk Values'!$A$5:$A$247,0))</f>
        <v/>
      </c>
      <c r="E139" s="7">
        <f>IF(C139&lt;=D139,"OK","exceeds max rank "&amp;D139)</f>
        <v/>
      </c>
      <c r="F139" s="7">
        <f>INDEX('Perk Values'!$G$5:$K$247,MATCH($B139,'Perk Values'!$A$5:$A$247,0),C139+1)</f>
        <v/>
      </c>
      <c r="G139" s="7">
        <f>INDEX('Perk Values'!$L$5:$P$247,MATCH($B139,'Perk Values'!$A$5:$A$247,0),C139+1)</f>
        <v/>
      </c>
      <c r="H139" s="7">
        <f>INDEX('Perk Values'!$D$5:$D$247,MATCH($B139,'Perk Values'!$A$5:$A$247,0))</f>
        <v/>
      </c>
      <c r="I139" s="7" t="inlineStr"/>
    </row>
    <row r="140">
      <c r="A140" s="7" t="inlineStr">
        <is>
          <t>CHA</t>
        </is>
      </c>
      <c r="B140" s="7" t="inlineStr">
        <is>
          <t>Hard Bargain</t>
        </is>
      </c>
      <c r="C140" s="4">
        <f>VLOOKUP($B$4,Presets!$A$5:$IQ$6,130,FALSE)</f>
        <v/>
      </c>
      <c r="D140" s="7">
        <f>INDEX('Perk Values'!$C$5:$C$247,MATCH($B140,'Perk Values'!$A$5:$A$247,0))</f>
        <v/>
      </c>
      <c r="E140" s="7">
        <f>IF(C140&lt;=D140,"OK","exceeds max rank "&amp;D140)</f>
        <v/>
      </c>
      <c r="F140" s="7">
        <f>INDEX('Perk Values'!$G$5:$K$247,MATCH($B140,'Perk Values'!$A$5:$A$247,0),C140+1)</f>
        <v/>
      </c>
      <c r="G140" s="7">
        <f>INDEX('Perk Values'!$L$5:$P$247,MATCH($B140,'Perk Values'!$A$5:$A$247,0),C140+1)</f>
        <v/>
      </c>
      <c r="H140" s="7">
        <f>INDEX('Perk Values'!$D$5:$D$247,MATCH($B140,'Perk Values'!$A$5:$A$247,0))</f>
        <v/>
      </c>
      <c r="I140" s="7" t="inlineStr"/>
    </row>
    <row r="141">
      <c r="A141" s="7" t="inlineStr">
        <is>
          <t>CHA</t>
        </is>
      </c>
      <c r="B141" s="7" t="inlineStr">
        <is>
          <t>Healing Hands</t>
        </is>
      </c>
      <c r="C141" s="4">
        <f>VLOOKUP($B$4,Presets!$A$5:$IQ$6,131,FALSE)</f>
        <v/>
      </c>
      <c r="D141" s="7">
        <f>INDEX('Perk Values'!$C$5:$C$247,MATCH($B141,'Perk Values'!$A$5:$A$247,0))</f>
        <v/>
      </c>
      <c r="E141" s="7">
        <f>IF(C141&lt;=D141,"OK","exceeds max rank "&amp;D141)</f>
        <v/>
      </c>
      <c r="F141" s="7">
        <f>INDEX('Perk Values'!$G$5:$K$247,MATCH($B141,'Perk Values'!$A$5:$A$247,0),C141+1)</f>
        <v/>
      </c>
      <c r="G141" s="7">
        <f>INDEX('Perk Values'!$L$5:$P$247,MATCH($B141,'Perk Values'!$A$5:$A$247,0),C141+1)</f>
        <v/>
      </c>
      <c r="H141" s="7">
        <f>INDEX('Perk Values'!$D$5:$D$247,MATCH($B141,'Perk Values'!$A$5:$A$247,0))</f>
        <v/>
      </c>
      <c r="I141" s="7" t="inlineStr"/>
    </row>
    <row r="142">
      <c r="A142" s="7" t="inlineStr">
        <is>
          <t>CHA</t>
        </is>
      </c>
      <c r="B142" s="7" t="inlineStr">
        <is>
          <t>Injector</t>
        </is>
      </c>
      <c r="C142" s="4">
        <f>VLOOKUP($B$4,Presets!$A$5:$IQ$6,132,FALSE)</f>
        <v/>
      </c>
      <c r="D142" s="7">
        <f>INDEX('Perk Values'!$C$5:$C$247,MATCH($B142,'Perk Values'!$A$5:$A$247,0))</f>
        <v/>
      </c>
      <c r="E142" s="7">
        <f>IF(C142&lt;=D142,"OK","exceeds max rank "&amp;D142)</f>
        <v/>
      </c>
      <c r="F142" s="7">
        <f>INDEX('Perk Values'!$G$5:$K$247,MATCH($B142,'Perk Values'!$A$5:$A$247,0),C142+1)</f>
        <v/>
      </c>
      <c r="G142" s="7">
        <f>INDEX('Perk Values'!$L$5:$P$247,MATCH($B142,'Perk Values'!$A$5:$A$247,0),C142+1)</f>
        <v/>
      </c>
      <c r="H142" s="7">
        <f>INDEX('Perk Values'!$D$5:$D$247,MATCH($B142,'Perk Values'!$A$5:$A$247,0))</f>
        <v/>
      </c>
      <c r="I142" s="7" t="inlineStr"/>
    </row>
    <row r="143">
      <c r="A143" s="7" t="inlineStr">
        <is>
          <t>CHA</t>
        </is>
      </c>
      <c r="B143" s="7" t="inlineStr">
        <is>
          <t>Inspirational</t>
        </is>
      </c>
      <c r="C143" s="4">
        <f>VLOOKUP($B$4,Presets!$A$5:$IQ$6,133,FALSE)</f>
        <v/>
      </c>
      <c r="D143" s="7">
        <f>INDEX('Perk Values'!$C$5:$C$247,MATCH($B143,'Perk Values'!$A$5:$A$247,0))</f>
        <v/>
      </c>
      <c r="E143" s="7">
        <f>IF(C143&lt;=D143,"OK","exceeds max rank "&amp;D143)</f>
        <v/>
      </c>
      <c r="F143" s="7">
        <f>INDEX('Perk Values'!$G$5:$K$247,MATCH($B143,'Perk Values'!$A$5:$A$247,0),C143+1)</f>
        <v/>
      </c>
      <c r="G143" s="7">
        <f>INDEX('Perk Values'!$L$5:$P$247,MATCH($B143,'Perk Values'!$A$5:$A$247,0),C143+1)</f>
        <v/>
      </c>
      <c r="H143" s="7">
        <f>INDEX('Perk Values'!$D$5:$D$247,MATCH($B143,'Perk Values'!$A$5:$A$247,0))</f>
        <v/>
      </c>
      <c r="I143" s="7" t="inlineStr"/>
    </row>
    <row r="144">
      <c r="A144" s="7" t="inlineStr">
        <is>
          <t>CHA</t>
        </is>
      </c>
      <c r="B144" s="7" t="inlineStr">
        <is>
          <t>Lone Wanderer</t>
        </is>
      </c>
      <c r="C144" s="4">
        <f>VLOOKUP($B$4,Presets!$A$5:$IQ$6,134,FALSE)</f>
        <v/>
      </c>
      <c r="D144" s="7">
        <f>INDEX('Perk Values'!$C$5:$C$247,MATCH($B144,'Perk Values'!$A$5:$A$247,0))</f>
        <v/>
      </c>
      <c r="E144" s="7">
        <f>IF(C144&lt;=D144,"OK","exceeds max rank "&amp;D144)</f>
        <v/>
      </c>
      <c r="F144" s="7">
        <f>INDEX('Perk Values'!$G$5:$K$247,MATCH($B144,'Perk Values'!$A$5:$A$247,0),C144+1)</f>
        <v/>
      </c>
      <c r="G144" s="7">
        <f>INDEX('Perk Values'!$L$5:$P$247,MATCH($B144,'Perk Values'!$A$5:$A$247,0),C144+1)</f>
        <v/>
      </c>
      <c r="H144" s="7">
        <f>INDEX('Perk Values'!$D$5:$D$247,MATCH($B144,'Perk Values'!$A$5:$A$247,0))</f>
        <v/>
      </c>
      <c r="I144" s="7" t="inlineStr"/>
    </row>
    <row r="145">
      <c r="A145" s="7" t="inlineStr">
        <is>
          <t>CHA</t>
        </is>
      </c>
      <c r="B145" s="7" t="inlineStr">
        <is>
          <t>Magnetic Personality</t>
        </is>
      </c>
      <c r="C145" s="4">
        <f>VLOOKUP($B$4,Presets!$A$5:$IQ$6,135,FALSE)</f>
        <v/>
      </c>
      <c r="D145" s="7">
        <f>INDEX('Perk Values'!$C$5:$C$247,MATCH($B145,'Perk Values'!$A$5:$A$247,0))</f>
        <v/>
      </c>
      <c r="E145" s="7">
        <f>IF(C145&lt;=D145,"OK","exceeds max rank "&amp;D145)</f>
        <v/>
      </c>
      <c r="F145" s="7">
        <f>INDEX('Perk Values'!$G$5:$K$247,MATCH($B145,'Perk Values'!$A$5:$A$247,0),C145+1)</f>
        <v/>
      </c>
      <c r="G145" s="7">
        <f>INDEX('Perk Values'!$L$5:$P$247,MATCH($B145,'Perk Values'!$A$5:$A$247,0),C145+1)</f>
        <v/>
      </c>
      <c r="H145" s="7">
        <f>INDEX('Perk Values'!$D$5:$D$247,MATCH($B145,'Perk Values'!$A$5:$A$247,0))</f>
        <v/>
      </c>
      <c r="I145" s="7" t="inlineStr"/>
    </row>
    <row r="146">
      <c r="A146" s="7" t="inlineStr">
        <is>
          <t>CHA</t>
        </is>
      </c>
      <c r="B146" s="7" t="inlineStr">
        <is>
          <t>Overly Generous</t>
        </is>
      </c>
      <c r="C146" s="4">
        <f>VLOOKUP($B$4,Presets!$A$5:$IQ$6,136,FALSE)</f>
        <v/>
      </c>
      <c r="D146" s="7">
        <f>INDEX('Perk Values'!$C$5:$C$247,MATCH($B146,'Perk Values'!$A$5:$A$247,0))</f>
        <v/>
      </c>
      <c r="E146" s="7">
        <f>IF(C146&lt;=D146,"OK","exceeds max rank "&amp;D146)</f>
        <v/>
      </c>
      <c r="F146" s="7">
        <f>INDEX('Perk Values'!$G$5:$K$247,MATCH($B146,'Perk Values'!$A$5:$A$247,0),C146+1)</f>
        <v/>
      </c>
      <c r="G146" s="7">
        <f>INDEX('Perk Values'!$L$5:$P$247,MATCH($B146,'Perk Values'!$A$5:$A$247,0),C146+1)</f>
        <v/>
      </c>
      <c r="H146" s="7">
        <f>INDEX('Perk Values'!$D$5:$D$247,MATCH($B146,'Perk Values'!$A$5:$A$247,0))</f>
        <v/>
      </c>
      <c r="I146" s="7" t="inlineStr"/>
    </row>
    <row r="147">
      <c r="A147" s="7" t="inlineStr">
        <is>
          <t>CHA</t>
        </is>
      </c>
      <c r="B147" s="7" t="inlineStr">
        <is>
          <t>Party Boy</t>
        </is>
      </c>
      <c r="C147" s="4">
        <f>VLOOKUP($B$4,Presets!$A$5:$IQ$6,137,FALSE)</f>
        <v/>
      </c>
      <c r="D147" s="7">
        <f>INDEX('Perk Values'!$C$5:$C$247,MATCH($B147,'Perk Values'!$A$5:$A$247,0))</f>
        <v/>
      </c>
      <c r="E147" s="7">
        <f>IF(C147&lt;=D147,"OK","exceeds max rank "&amp;D147)</f>
        <v/>
      </c>
      <c r="F147" s="7">
        <f>INDEX('Perk Values'!$G$5:$K$247,MATCH($B147,'Perk Values'!$A$5:$A$247,0),C147+1)</f>
        <v/>
      </c>
      <c r="G147" s="7">
        <f>INDEX('Perk Values'!$L$5:$P$247,MATCH($B147,'Perk Values'!$A$5:$A$247,0),C147+1)</f>
        <v/>
      </c>
      <c r="H147" s="7">
        <f>INDEX('Perk Values'!$D$5:$D$247,MATCH($B147,'Perk Values'!$A$5:$A$247,0))</f>
        <v/>
      </c>
      <c r="I147" s="7" t="inlineStr"/>
    </row>
    <row r="148">
      <c r="A148" s="7" t="inlineStr">
        <is>
          <t>CHA</t>
        </is>
      </c>
      <c r="B148" s="7" t="inlineStr">
        <is>
          <t>Party Girl</t>
        </is>
      </c>
      <c r="C148" s="4">
        <f>VLOOKUP($B$4,Presets!$A$5:$IQ$6,138,FALSE)</f>
        <v/>
      </c>
      <c r="D148" s="7">
        <f>INDEX('Perk Values'!$C$5:$C$247,MATCH($B148,'Perk Values'!$A$5:$A$247,0))</f>
        <v/>
      </c>
      <c r="E148" s="7">
        <f>IF(C148&lt;=D148,"OK","exceeds max rank "&amp;D148)</f>
        <v/>
      </c>
      <c r="F148" s="7">
        <f>INDEX('Perk Values'!$G$5:$K$247,MATCH($B148,'Perk Values'!$A$5:$A$247,0),C148+1)</f>
        <v/>
      </c>
      <c r="G148" s="7">
        <f>INDEX('Perk Values'!$L$5:$P$247,MATCH($B148,'Perk Values'!$A$5:$A$247,0),C148+1)</f>
        <v/>
      </c>
      <c r="H148" s="7">
        <f>INDEX('Perk Values'!$D$5:$D$247,MATCH($B148,'Perk Values'!$A$5:$A$247,0))</f>
        <v/>
      </c>
      <c r="I148" s="7" t="inlineStr"/>
    </row>
    <row r="149">
      <c r="A149" s="7" t="inlineStr">
        <is>
          <t>CHA</t>
        </is>
      </c>
      <c r="B149" s="7" t="inlineStr">
        <is>
          <t>Philanthropist</t>
        </is>
      </c>
      <c r="C149" s="4">
        <f>VLOOKUP($B$4,Presets!$A$5:$IQ$6,139,FALSE)</f>
        <v/>
      </c>
      <c r="D149" s="7">
        <f>INDEX('Perk Values'!$C$5:$C$247,MATCH($B149,'Perk Values'!$A$5:$A$247,0))</f>
        <v/>
      </c>
      <c r="E149" s="7">
        <f>IF(C149&lt;=D149,"OK","exceeds max rank "&amp;D149)</f>
        <v/>
      </c>
      <c r="F149" s="7">
        <f>INDEX('Perk Values'!$G$5:$K$247,MATCH($B149,'Perk Values'!$A$5:$A$247,0),C149+1)</f>
        <v/>
      </c>
      <c r="G149" s="7">
        <f>INDEX('Perk Values'!$L$5:$P$247,MATCH($B149,'Perk Values'!$A$5:$A$247,0),C149+1)</f>
        <v/>
      </c>
      <c r="H149" s="7">
        <f>INDEX('Perk Values'!$D$5:$D$247,MATCH($B149,'Perk Values'!$A$5:$A$247,0))</f>
        <v/>
      </c>
      <c r="I149" s="7" t="inlineStr"/>
    </row>
    <row r="150">
      <c r="A150" s="7" t="inlineStr">
        <is>
          <t>CHA</t>
        </is>
      </c>
      <c r="B150" s="7" t="inlineStr">
        <is>
          <t>Quack Surgeon</t>
        </is>
      </c>
      <c r="C150" s="4">
        <f>VLOOKUP($B$4,Presets!$A$5:$IQ$6,140,FALSE)</f>
        <v/>
      </c>
      <c r="D150" s="7">
        <f>INDEX('Perk Values'!$C$5:$C$247,MATCH($B150,'Perk Values'!$A$5:$A$247,0))</f>
        <v/>
      </c>
      <c r="E150" s="7">
        <f>IF(C150&lt;=D150,"OK","exceeds max rank "&amp;D150)</f>
        <v/>
      </c>
      <c r="F150" s="7">
        <f>INDEX('Perk Values'!$G$5:$K$247,MATCH($B150,'Perk Values'!$A$5:$A$247,0),C150+1)</f>
        <v/>
      </c>
      <c r="G150" s="7">
        <f>INDEX('Perk Values'!$L$5:$P$247,MATCH($B150,'Perk Values'!$A$5:$A$247,0),C150+1)</f>
        <v/>
      </c>
      <c r="H150" s="7">
        <f>INDEX('Perk Values'!$D$5:$D$247,MATCH($B150,'Perk Values'!$A$5:$A$247,0))</f>
        <v/>
      </c>
      <c r="I150" s="7" t="inlineStr"/>
    </row>
    <row r="151">
      <c r="A151" s="7" t="inlineStr">
        <is>
          <t>CHA</t>
        </is>
      </c>
      <c r="B151" s="7" t="inlineStr">
        <is>
          <t>Revenant</t>
        </is>
      </c>
      <c r="C151" s="4">
        <f>VLOOKUP($B$4,Presets!$A$5:$IQ$6,141,FALSE)</f>
        <v/>
      </c>
      <c r="D151" s="7">
        <f>INDEX('Perk Values'!$C$5:$C$247,MATCH($B151,'Perk Values'!$A$5:$A$247,0))</f>
        <v/>
      </c>
      <c r="E151" s="7">
        <f>IF(C151&lt;=D151,"OK","exceeds max rank "&amp;D151)</f>
        <v/>
      </c>
      <c r="F151" s="7">
        <f>INDEX('Perk Values'!$G$5:$K$247,MATCH($B151,'Perk Values'!$A$5:$A$247,0),C151+1)</f>
        <v/>
      </c>
      <c r="G151" s="7">
        <f>INDEX('Perk Values'!$L$5:$P$247,MATCH($B151,'Perk Values'!$A$5:$A$247,0),C151+1)</f>
        <v/>
      </c>
      <c r="H151" s="7">
        <f>INDEX('Perk Values'!$D$5:$D$247,MATCH($B151,'Perk Values'!$A$5:$A$247,0))</f>
        <v/>
      </c>
      <c r="I151" s="7" t="inlineStr"/>
    </row>
    <row r="152">
      <c r="A152" s="7" t="inlineStr">
        <is>
          <t>CHA</t>
        </is>
      </c>
      <c r="B152" s="7" t="inlineStr">
        <is>
          <t>Spiritual Healer</t>
        </is>
      </c>
      <c r="C152" s="4">
        <f>VLOOKUP($B$4,Presets!$A$5:$IQ$6,142,FALSE)</f>
        <v/>
      </c>
      <c r="D152" s="7">
        <f>INDEX('Perk Values'!$C$5:$C$247,MATCH($B152,'Perk Values'!$A$5:$A$247,0))</f>
        <v/>
      </c>
      <c r="E152" s="7">
        <f>IF(C152&lt;=D152,"OK","exceeds max rank "&amp;D152)</f>
        <v/>
      </c>
      <c r="F152" s="7">
        <f>INDEX('Perk Values'!$G$5:$K$247,MATCH($B152,'Perk Values'!$A$5:$A$247,0),C152+1)</f>
        <v/>
      </c>
      <c r="G152" s="7">
        <f>INDEX('Perk Values'!$L$5:$P$247,MATCH($B152,'Perk Values'!$A$5:$A$247,0),C152+1)</f>
        <v/>
      </c>
      <c r="H152" s="7">
        <f>INDEX('Perk Values'!$D$5:$D$247,MATCH($B152,'Perk Values'!$A$5:$A$247,0))</f>
        <v/>
      </c>
      <c r="I152" s="7" t="inlineStr"/>
    </row>
    <row r="153">
      <c r="A153" s="7" t="inlineStr">
        <is>
          <t>CHA</t>
        </is>
      </c>
      <c r="B153" s="7" t="inlineStr">
        <is>
          <t>Squad Maneuvers</t>
        </is>
      </c>
      <c r="C153" s="4">
        <f>VLOOKUP($B$4,Presets!$A$5:$IQ$6,143,FALSE)</f>
        <v/>
      </c>
      <c r="D153" s="7">
        <f>INDEX('Perk Values'!$C$5:$C$247,MATCH($B153,'Perk Values'!$A$5:$A$247,0))</f>
        <v/>
      </c>
      <c r="E153" s="7">
        <f>IF(C153&lt;=D153,"OK","exceeds max rank "&amp;D153)</f>
        <v/>
      </c>
      <c r="F153" s="7">
        <f>INDEX('Perk Values'!$G$5:$K$247,MATCH($B153,'Perk Values'!$A$5:$A$247,0),C153+1)</f>
        <v/>
      </c>
      <c r="G153" s="7">
        <f>INDEX('Perk Values'!$L$5:$P$247,MATCH($B153,'Perk Values'!$A$5:$A$247,0),C153+1)</f>
        <v/>
      </c>
      <c r="H153" s="7">
        <f>INDEX('Perk Values'!$D$5:$D$247,MATCH($B153,'Perk Values'!$A$5:$A$247,0))</f>
        <v/>
      </c>
      <c r="I153" s="7" t="inlineStr"/>
    </row>
    <row r="154">
      <c r="A154" s="7" t="inlineStr">
        <is>
          <t>CHA</t>
        </is>
      </c>
      <c r="B154" s="7" t="inlineStr">
        <is>
          <t>Strange In Numbers</t>
        </is>
      </c>
      <c r="C154" s="4">
        <f>VLOOKUP($B$4,Presets!$A$5:$IQ$6,144,FALSE)</f>
        <v/>
      </c>
      <c r="D154" s="7">
        <f>INDEX('Perk Values'!$C$5:$C$247,MATCH($B154,'Perk Values'!$A$5:$A$247,0))</f>
        <v/>
      </c>
      <c r="E154" s="7">
        <f>IF(C154&lt;=D154,"OK","exceeds max rank "&amp;D154)</f>
        <v/>
      </c>
      <c r="F154" s="7">
        <f>INDEX('Perk Values'!$G$5:$K$247,MATCH($B154,'Perk Values'!$A$5:$A$247,0),C154+1)</f>
        <v/>
      </c>
      <c r="G154" s="7">
        <f>INDEX('Perk Values'!$L$5:$P$247,MATCH($B154,'Perk Values'!$A$5:$A$247,0),C154+1)</f>
        <v/>
      </c>
      <c r="H154" s="7">
        <f>INDEX('Perk Values'!$D$5:$D$247,MATCH($B154,'Perk Values'!$A$5:$A$247,0))</f>
        <v/>
      </c>
      <c r="I154" s="7" t="inlineStr"/>
    </row>
    <row r="155">
      <c r="A155" s="7" t="inlineStr">
        <is>
          <t>CHA</t>
        </is>
      </c>
      <c r="B155" s="7" t="inlineStr">
        <is>
          <t>Suppressor</t>
        </is>
      </c>
      <c r="C155" s="4">
        <f>VLOOKUP($B$4,Presets!$A$5:$IQ$6,145,FALSE)</f>
        <v/>
      </c>
      <c r="D155" s="7">
        <f>INDEX('Perk Values'!$C$5:$C$247,MATCH($B155,'Perk Values'!$A$5:$A$247,0))</f>
        <v/>
      </c>
      <c r="E155" s="7">
        <f>IF(C155&lt;=D155,"OK","exceeds max rank "&amp;D155)</f>
        <v/>
      </c>
      <c r="F155" s="7">
        <f>INDEX('Perk Values'!$G$5:$K$247,MATCH($B155,'Perk Values'!$A$5:$A$247,0),C155+1)</f>
        <v/>
      </c>
      <c r="G155" s="7">
        <f>INDEX('Perk Values'!$L$5:$P$247,MATCH($B155,'Perk Values'!$A$5:$A$247,0),C155+1)</f>
        <v/>
      </c>
      <c r="H155" s="7">
        <f>INDEX('Perk Values'!$D$5:$D$247,MATCH($B155,'Perk Values'!$A$5:$A$247,0))</f>
        <v/>
      </c>
      <c r="I155" s="7" t="inlineStr"/>
    </row>
    <row r="156">
      <c r="A156" s="7" t="inlineStr">
        <is>
          <t>CHA</t>
        </is>
      </c>
      <c r="B156" s="7" t="inlineStr">
        <is>
          <t>Team Medic</t>
        </is>
      </c>
      <c r="C156" s="4">
        <f>VLOOKUP($B$4,Presets!$A$5:$IQ$6,146,FALSE)</f>
        <v/>
      </c>
      <c r="D156" s="7">
        <f>INDEX('Perk Values'!$C$5:$C$247,MATCH($B156,'Perk Values'!$A$5:$A$247,0))</f>
        <v/>
      </c>
      <c r="E156" s="7">
        <f>IF(C156&lt;=D156,"OK","exceeds max rank "&amp;D156)</f>
        <v/>
      </c>
      <c r="F156" s="7">
        <f>INDEX('Perk Values'!$G$5:$K$247,MATCH($B156,'Perk Values'!$A$5:$A$247,0),C156+1)</f>
        <v/>
      </c>
      <c r="G156" s="7">
        <f>INDEX('Perk Values'!$L$5:$P$247,MATCH($B156,'Perk Values'!$A$5:$A$247,0),C156+1)</f>
        <v/>
      </c>
      <c r="H156" s="7">
        <f>INDEX('Perk Values'!$D$5:$D$247,MATCH($B156,'Perk Values'!$A$5:$A$247,0))</f>
        <v/>
      </c>
      <c r="I156" s="7" t="inlineStr"/>
    </row>
    <row r="157">
      <c r="A157" s="7" t="inlineStr">
        <is>
          <t>CHA</t>
        </is>
      </c>
      <c r="B157" s="7" t="inlineStr">
        <is>
          <t>Tenderizer</t>
        </is>
      </c>
      <c r="C157" s="4">
        <f>VLOOKUP($B$4,Presets!$A$5:$IQ$6,147,FALSE)</f>
        <v/>
      </c>
      <c r="D157" s="7">
        <f>INDEX('Perk Values'!$C$5:$C$247,MATCH($B157,'Perk Values'!$A$5:$A$247,0))</f>
        <v/>
      </c>
      <c r="E157" s="7">
        <f>IF(C157&lt;=D157,"OK","exceeds max rank "&amp;D157)</f>
        <v/>
      </c>
      <c r="F157" s="7">
        <f>INDEX('Perk Values'!$G$5:$K$247,MATCH($B157,'Perk Values'!$A$5:$A$247,0),C157+1)</f>
        <v/>
      </c>
      <c r="G157" s="7">
        <f>INDEX('Perk Values'!$L$5:$P$247,MATCH($B157,'Perk Values'!$A$5:$A$247,0),C157+1)</f>
        <v/>
      </c>
      <c r="H157" s="7">
        <f>INDEX('Perk Values'!$D$5:$D$247,MATCH($B157,'Perk Values'!$A$5:$A$247,0))</f>
        <v/>
      </c>
      <c r="I157" s="7" t="inlineStr"/>
    </row>
    <row r="158">
      <c r="A158" s="7" t="inlineStr">
        <is>
          <t>CHA</t>
        </is>
      </c>
      <c r="B158" s="7" t="inlineStr">
        <is>
          <t>Travel Agent</t>
        </is>
      </c>
      <c r="C158" s="4">
        <f>VLOOKUP($B$4,Presets!$A$5:$IQ$6,148,FALSE)</f>
        <v/>
      </c>
      <c r="D158" s="7">
        <f>INDEX('Perk Values'!$C$5:$C$247,MATCH($B158,'Perk Values'!$A$5:$A$247,0))</f>
        <v/>
      </c>
      <c r="E158" s="7">
        <f>IF(C158&lt;=D158,"OK","exceeds max rank "&amp;D158)</f>
        <v/>
      </c>
      <c r="F158" s="7">
        <f>INDEX('Perk Values'!$G$5:$K$247,MATCH($B158,'Perk Values'!$A$5:$A$247,0),C158+1)</f>
        <v/>
      </c>
      <c r="G158" s="7">
        <f>INDEX('Perk Values'!$L$5:$P$247,MATCH($B158,'Perk Values'!$A$5:$A$247,0),C158+1)</f>
        <v/>
      </c>
      <c r="H158" s="7">
        <f>INDEX('Perk Values'!$D$5:$D$247,MATCH($B158,'Perk Values'!$A$5:$A$247,0))</f>
        <v/>
      </c>
      <c r="I158" s="7" t="inlineStr"/>
    </row>
    <row r="159">
      <c r="A159" s="7" t="inlineStr">
        <is>
          <t>CHA</t>
        </is>
      </c>
      <c r="B159" s="7" t="inlineStr">
        <is>
          <t>Wasteland Whisperer</t>
        </is>
      </c>
      <c r="C159" s="4">
        <f>VLOOKUP($B$4,Presets!$A$5:$IQ$6,149,FALSE)</f>
        <v/>
      </c>
      <c r="D159" s="7">
        <f>INDEX('Perk Values'!$C$5:$C$247,MATCH($B159,'Perk Values'!$A$5:$A$247,0))</f>
        <v/>
      </c>
      <c r="E159" s="7">
        <f>IF(C159&lt;=D159,"OK","exceeds max rank "&amp;D159)</f>
        <v/>
      </c>
      <c r="F159" s="7">
        <f>INDEX('Perk Values'!$G$5:$K$247,MATCH($B159,'Perk Values'!$A$5:$A$247,0),C159+1)</f>
        <v/>
      </c>
      <c r="G159" s="7">
        <f>INDEX('Perk Values'!$L$5:$P$247,MATCH($B159,'Perk Values'!$A$5:$A$247,0),C159+1)</f>
        <v/>
      </c>
      <c r="H159" s="7">
        <f>INDEX('Perk Values'!$D$5:$D$247,MATCH($B159,'Perk Values'!$A$5:$A$247,0))</f>
        <v/>
      </c>
      <c r="I159" s="7" t="inlineStr"/>
    </row>
    <row r="160">
      <c r="A160" s="7" t="inlineStr">
        <is>
          <t>CHA</t>
        </is>
      </c>
      <c r="B160" s="7" t="inlineStr">
        <is>
          <t>Feral Presence</t>
        </is>
      </c>
      <c r="C160" s="4">
        <f>VLOOKUP($B$4,Presets!$A$5:$IQ$6,150,FALSE)</f>
        <v/>
      </c>
      <c r="D160" s="7">
        <f>INDEX('Perk Values'!$C$5:$C$247,MATCH($B160,'Perk Values'!$A$5:$A$247,0))</f>
        <v/>
      </c>
      <c r="E160" s="7">
        <f>IF(C160&lt;=D160,"OK","exceeds max rank "&amp;D160)</f>
        <v/>
      </c>
      <c r="F160" s="7">
        <f>INDEX('Perk Values'!$G$5:$K$247,MATCH($B160,'Perk Values'!$A$5:$A$247,0),C160+1)</f>
        <v/>
      </c>
      <c r="G160" s="7">
        <f>INDEX('Perk Values'!$L$5:$P$247,MATCH($B160,'Perk Values'!$A$5:$A$247,0),C160+1)</f>
        <v/>
      </c>
      <c r="H160" s="7">
        <f>INDEX('Perk Values'!$D$5:$D$247,MATCH($B160,'Perk Values'!$A$5:$A$247,0))</f>
        <v/>
      </c>
      <c r="I160" s="7" t="inlineStr"/>
    </row>
    <row r="161">
      <c r="A161" s="7" t="inlineStr">
        <is>
          <t>CHA</t>
        </is>
      </c>
      <c r="B161" s="7" t="inlineStr">
        <is>
          <t>Glowing One</t>
        </is>
      </c>
      <c r="C161" s="4">
        <f>VLOOKUP($B$4,Presets!$A$5:$IQ$6,151,FALSE)</f>
        <v/>
      </c>
      <c r="D161" s="7">
        <f>INDEX('Perk Values'!$C$5:$C$247,MATCH($B161,'Perk Values'!$A$5:$A$247,0))</f>
        <v/>
      </c>
      <c r="E161" s="7">
        <f>IF(C161&lt;=D161,"OK","exceeds max rank "&amp;D161)</f>
        <v/>
      </c>
      <c r="F161" s="7">
        <f>INDEX('Perk Values'!$G$5:$K$247,MATCH($B161,'Perk Values'!$A$5:$A$247,0),C161+1)</f>
        <v/>
      </c>
      <c r="G161" s="7">
        <f>INDEX('Perk Values'!$L$5:$P$247,MATCH($B161,'Perk Values'!$A$5:$A$247,0),C161+1)</f>
        <v/>
      </c>
      <c r="H161" s="7">
        <f>INDEX('Perk Values'!$D$5:$D$247,MATCH($B161,'Perk Values'!$A$5:$A$247,0))</f>
        <v/>
      </c>
      <c r="I161" s="7" t="inlineStr"/>
    </row>
    <row r="162">
      <c r="A162" s="7" t="inlineStr">
        <is>
          <t>CHA</t>
        </is>
      </c>
      <c r="B162" s="7" t="inlineStr">
        <is>
          <t>Moral Support</t>
        </is>
      </c>
      <c r="C162" s="4">
        <f>VLOOKUP($B$4,Presets!$A$5:$IQ$6,152,FALSE)</f>
        <v/>
      </c>
      <c r="D162" s="7">
        <f>INDEX('Perk Values'!$C$5:$C$247,MATCH($B162,'Perk Values'!$A$5:$A$247,0))</f>
        <v/>
      </c>
      <c r="E162" s="7">
        <f>IF(C162&lt;=D162,"OK","exceeds max rank "&amp;D162)</f>
        <v/>
      </c>
      <c r="F162" s="7">
        <f>INDEX('Perk Values'!$G$5:$K$247,MATCH($B162,'Perk Values'!$A$5:$A$247,0),C162+1)</f>
        <v/>
      </c>
      <c r="G162" s="7">
        <f>INDEX('Perk Values'!$L$5:$P$247,MATCH($B162,'Perk Values'!$A$5:$A$247,0),C162+1)</f>
        <v/>
      </c>
      <c r="H162" s="7">
        <f>INDEX('Perk Values'!$D$5:$D$247,MATCH($B162,'Perk Values'!$A$5:$A$247,0))</f>
        <v/>
      </c>
      <c r="I162" s="7" t="inlineStr"/>
    </row>
    <row r="163">
      <c r="A163" s="7" t="inlineStr">
        <is>
          <t>CHA</t>
        </is>
      </c>
      <c r="B163" s="7" t="inlineStr">
        <is>
          <t>United Ordeal</t>
        </is>
      </c>
      <c r="C163" s="4">
        <f>VLOOKUP($B$4,Presets!$A$5:$IQ$6,153,FALSE)</f>
        <v/>
      </c>
      <c r="D163" s="7">
        <f>INDEX('Perk Values'!$C$5:$C$247,MATCH($B163,'Perk Values'!$A$5:$A$247,0))</f>
        <v/>
      </c>
      <c r="E163" s="7">
        <f>IF(C163&lt;=D163,"OK","exceeds max rank "&amp;D163)</f>
        <v/>
      </c>
      <c r="F163" s="7">
        <f>INDEX('Perk Values'!$G$5:$K$247,MATCH($B163,'Perk Values'!$A$5:$A$247,0),C163+1)</f>
        <v/>
      </c>
      <c r="G163" s="7">
        <f>INDEX('Perk Values'!$L$5:$P$247,MATCH($B163,'Perk Values'!$A$5:$A$247,0),C163+1)</f>
        <v/>
      </c>
      <c r="H163" s="7">
        <f>INDEX('Perk Values'!$D$5:$D$247,MATCH($B163,'Perk Values'!$A$5:$A$247,0))</f>
        <v/>
      </c>
      <c r="I163" s="7" t="inlineStr"/>
    </row>
    <row r="164">
      <c r="A164" s="7" t="inlineStr">
        <is>
          <t>INT</t>
        </is>
      </c>
      <c r="B164" s="7" t="inlineStr">
        <is>
          <t>Armorer</t>
        </is>
      </c>
      <c r="C164" s="4">
        <f>VLOOKUP($B$4,Presets!$A$5:$IQ$6,154,FALSE)</f>
        <v/>
      </c>
      <c r="D164" s="7">
        <f>INDEX('Perk Values'!$C$5:$C$247,MATCH($B164,'Perk Values'!$A$5:$A$247,0))</f>
        <v/>
      </c>
      <c r="E164" s="7">
        <f>IF(C164&lt;=D164,"OK","exceeds max rank "&amp;D164)</f>
        <v/>
      </c>
      <c r="F164" s="7">
        <f>INDEX('Perk Values'!$G$5:$K$247,MATCH($B164,'Perk Values'!$A$5:$A$247,0),C164+1)</f>
        <v/>
      </c>
      <c r="G164" s="7">
        <f>INDEX('Perk Values'!$L$5:$P$247,MATCH($B164,'Perk Values'!$A$5:$A$247,0),C164+1)</f>
        <v/>
      </c>
      <c r="H164" s="7">
        <f>INDEX('Perk Values'!$D$5:$D$247,MATCH($B164,'Perk Values'!$A$5:$A$247,0))</f>
        <v/>
      </c>
      <c r="I164" s="7" t="inlineStr"/>
    </row>
    <row r="165">
      <c r="A165" s="7" t="inlineStr">
        <is>
          <t>INT</t>
        </is>
      </c>
      <c r="B165" s="7" t="inlineStr">
        <is>
          <t>Batteries Included</t>
        </is>
      </c>
      <c r="C165" s="4">
        <f>VLOOKUP($B$4,Presets!$A$5:$IQ$6,155,FALSE)</f>
        <v/>
      </c>
      <c r="D165" s="7">
        <f>INDEX('Perk Values'!$C$5:$C$247,MATCH($B165,'Perk Values'!$A$5:$A$247,0))</f>
        <v/>
      </c>
      <c r="E165" s="7">
        <f>IF(C165&lt;=D165,"OK","exceeds max rank "&amp;D165)</f>
        <v/>
      </c>
      <c r="F165" s="7">
        <f>INDEX('Perk Values'!$G$5:$K$247,MATCH($B165,'Perk Values'!$A$5:$A$247,0),C165+1)</f>
        <v/>
      </c>
      <c r="G165" s="7">
        <f>INDEX('Perk Values'!$L$5:$P$247,MATCH($B165,'Perk Values'!$A$5:$A$247,0),C165+1)</f>
        <v/>
      </c>
      <c r="H165" s="7">
        <f>INDEX('Perk Values'!$D$5:$D$247,MATCH($B165,'Perk Values'!$A$5:$A$247,0))</f>
        <v/>
      </c>
      <c r="I165" s="7" t="inlineStr"/>
    </row>
    <row r="166">
      <c r="A166" s="7" t="inlineStr">
        <is>
          <t>INT</t>
        </is>
      </c>
      <c r="B166" s="7" t="inlineStr">
        <is>
          <t>Chemist</t>
        </is>
      </c>
      <c r="C166" s="4">
        <f>VLOOKUP($B$4,Presets!$A$5:$IQ$6,156,FALSE)</f>
        <v/>
      </c>
      <c r="D166" s="7">
        <f>INDEX('Perk Values'!$C$5:$C$247,MATCH($B166,'Perk Values'!$A$5:$A$247,0))</f>
        <v/>
      </c>
      <c r="E166" s="7">
        <f>IF(C166&lt;=D166,"OK","exceeds max rank "&amp;D166)</f>
        <v/>
      </c>
      <c r="F166" s="7">
        <f>INDEX('Perk Values'!$G$5:$K$247,MATCH($B166,'Perk Values'!$A$5:$A$247,0),C166+1)</f>
        <v/>
      </c>
      <c r="G166" s="7">
        <f>INDEX('Perk Values'!$L$5:$P$247,MATCH($B166,'Perk Values'!$A$5:$A$247,0),C166+1)</f>
        <v/>
      </c>
      <c r="H166" s="7">
        <f>INDEX('Perk Values'!$D$5:$D$247,MATCH($B166,'Perk Values'!$A$5:$A$247,0))</f>
        <v/>
      </c>
      <c r="I166" s="7" t="inlineStr"/>
    </row>
    <row r="167">
      <c r="A167" s="7" t="inlineStr">
        <is>
          <t>INT</t>
        </is>
      </c>
      <c r="B167" s="7" t="inlineStr">
        <is>
          <t>Contractor</t>
        </is>
      </c>
      <c r="C167" s="4">
        <f>VLOOKUP($B$4,Presets!$A$5:$IQ$6,157,FALSE)</f>
        <v/>
      </c>
      <c r="D167" s="7">
        <f>INDEX('Perk Values'!$C$5:$C$247,MATCH($B167,'Perk Values'!$A$5:$A$247,0))</f>
        <v/>
      </c>
      <c r="E167" s="7">
        <f>IF(C167&lt;=D167,"OK","exceeds max rank "&amp;D167)</f>
        <v/>
      </c>
      <c r="F167" s="7">
        <f>INDEX('Perk Values'!$G$5:$K$247,MATCH($B167,'Perk Values'!$A$5:$A$247,0),C167+1)</f>
        <v/>
      </c>
      <c r="G167" s="7">
        <f>INDEX('Perk Values'!$L$5:$P$247,MATCH($B167,'Perk Values'!$A$5:$A$247,0),C167+1)</f>
        <v/>
      </c>
      <c r="H167" s="7">
        <f>INDEX('Perk Values'!$D$5:$D$247,MATCH($B167,'Perk Values'!$A$5:$A$247,0))</f>
        <v/>
      </c>
      <c r="I167" s="7" t="inlineStr"/>
    </row>
    <row r="168">
      <c r="A168" s="7" t="inlineStr">
        <is>
          <t>INT</t>
        </is>
      </c>
      <c r="B168" s="7" t="inlineStr">
        <is>
          <t>Cryologist</t>
        </is>
      </c>
      <c r="C168" s="4">
        <f>VLOOKUP($B$4,Presets!$A$5:$IQ$6,158,FALSE)</f>
        <v/>
      </c>
      <c r="D168" s="7">
        <f>INDEX('Perk Values'!$C$5:$C$247,MATCH($B168,'Perk Values'!$A$5:$A$247,0))</f>
        <v/>
      </c>
      <c r="E168" s="7">
        <f>IF(C168&lt;=D168,"OK","exceeds max rank "&amp;D168)</f>
        <v/>
      </c>
      <c r="F168" s="7">
        <f>INDEX('Perk Values'!$G$5:$K$247,MATCH($B168,'Perk Values'!$A$5:$A$247,0),C168+1)</f>
        <v/>
      </c>
      <c r="G168" s="7">
        <f>INDEX('Perk Values'!$L$5:$P$247,MATCH($B168,'Perk Values'!$A$5:$A$247,0),C168+1)</f>
        <v/>
      </c>
      <c r="H168" s="7">
        <f>INDEX('Perk Values'!$D$5:$D$247,MATCH($B168,'Perk Values'!$A$5:$A$247,0))</f>
        <v/>
      </c>
      <c r="I168" s="7" t="inlineStr"/>
    </row>
    <row r="169">
      <c r="A169" s="7" t="inlineStr">
        <is>
          <t>INT</t>
        </is>
      </c>
      <c r="B169" s="7" t="inlineStr">
        <is>
          <t>Curator</t>
        </is>
      </c>
      <c r="C169" s="4">
        <f>VLOOKUP($B$4,Presets!$A$5:$IQ$6,159,FALSE)</f>
        <v/>
      </c>
      <c r="D169" s="7">
        <f>INDEX('Perk Values'!$C$5:$C$247,MATCH($B169,'Perk Values'!$A$5:$A$247,0))</f>
        <v/>
      </c>
      <c r="E169" s="7">
        <f>IF(C169&lt;=D169,"OK","exceeds max rank "&amp;D169)</f>
        <v/>
      </c>
      <c r="F169" s="7">
        <f>INDEX('Perk Values'!$G$5:$K$247,MATCH($B169,'Perk Values'!$A$5:$A$247,0),C169+1)</f>
        <v/>
      </c>
      <c r="G169" s="7">
        <f>INDEX('Perk Values'!$L$5:$P$247,MATCH($B169,'Perk Values'!$A$5:$A$247,0),C169+1)</f>
        <v/>
      </c>
      <c r="H169" s="7">
        <f>INDEX('Perk Values'!$D$5:$D$247,MATCH($B169,'Perk Values'!$A$5:$A$247,0))</f>
        <v/>
      </c>
      <c r="I169" s="7" t="inlineStr"/>
    </row>
    <row r="170">
      <c r="A170" s="7" t="inlineStr">
        <is>
          <t>INT</t>
        </is>
      </c>
      <c r="B170" s="7" t="inlineStr">
        <is>
          <t>Demolition Expert</t>
        </is>
      </c>
      <c r="C170" s="4">
        <f>VLOOKUP($B$4,Presets!$A$5:$IQ$6,160,FALSE)</f>
        <v/>
      </c>
      <c r="D170" s="7">
        <f>INDEX('Perk Values'!$C$5:$C$247,MATCH($B170,'Perk Values'!$A$5:$A$247,0))</f>
        <v/>
      </c>
      <c r="E170" s="7">
        <f>IF(C170&lt;=D170,"OK","exceeds max rank "&amp;D170)</f>
        <v/>
      </c>
      <c r="F170" s="7">
        <f>INDEX('Perk Values'!$G$5:$K$247,MATCH($B170,'Perk Values'!$A$5:$A$247,0),C170+1)</f>
        <v/>
      </c>
      <c r="G170" s="7">
        <f>INDEX('Perk Values'!$L$5:$P$247,MATCH($B170,'Perk Values'!$A$5:$A$247,0),C170+1)</f>
        <v/>
      </c>
      <c r="H170" s="7">
        <f>INDEX('Perk Values'!$D$5:$D$247,MATCH($B170,'Perk Values'!$A$5:$A$247,0))</f>
        <v/>
      </c>
      <c r="I170" s="7" t="inlineStr"/>
    </row>
    <row r="171">
      <c r="A171" s="7" t="inlineStr">
        <is>
          <t>INT</t>
        </is>
      </c>
      <c r="B171" s="7" t="inlineStr">
        <is>
          <t>Expert Hacker</t>
        </is>
      </c>
      <c r="C171" s="4">
        <f>VLOOKUP($B$4,Presets!$A$5:$IQ$6,161,FALSE)</f>
        <v/>
      </c>
      <c r="D171" s="7">
        <f>INDEX('Perk Values'!$C$5:$C$247,MATCH($B171,'Perk Values'!$A$5:$A$247,0))</f>
        <v/>
      </c>
      <c r="E171" s="7">
        <f>IF(C171&lt;=D171,"OK","exceeds max rank "&amp;D171)</f>
        <v/>
      </c>
      <c r="F171" s="7">
        <f>INDEX('Perk Values'!$G$5:$K$247,MATCH($B171,'Perk Values'!$A$5:$A$247,0),C171+1)</f>
        <v/>
      </c>
      <c r="G171" s="7">
        <f>INDEX('Perk Values'!$L$5:$P$247,MATCH($B171,'Perk Values'!$A$5:$A$247,0),C171+1)</f>
        <v/>
      </c>
      <c r="H171" s="7">
        <f>INDEX('Perk Values'!$D$5:$D$247,MATCH($B171,'Perk Values'!$A$5:$A$247,0))</f>
        <v/>
      </c>
      <c r="I171" s="7" t="inlineStr"/>
    </row>
    <row r="172">
      <c r="A172" s="7" t="inlineStr">
        <is>
          <t>INT</t>
        </is>
      </c>
      <c r="B172" s="7" t="inlineStr">
        <is>
          <t>Field Surgeon</t>
        </is>
      </c>
      <c r="C172" s="4">
        <f>VLOOKUP($B$4,Presets!$A$5:$IQ$6,162,FALSE)</f>
        <v/>
      </c>
      <c r="D172" s="7">
        <f>INDEX('Perk Values'!$C$5:$C$247,MATCH($B172,'Perk Values'!$A$5:$A$247,0))</f>
        <v/>
      </c>
      <c r="E172" s="7">
        <f>IF(C172&lt;=D172,"OK","exceeds max rank "&amp;D172)</f>
        <v/>
      </c>
      <c r="F172" s="7">
        <f>INDEX('Perk Values'!$G$5:$K$247,MATCH($B172,'Perk Values'!$A$5:$A$247,0),C172+1)</f>
        <v/>
      </c>
      <c r="G172" s="7">
        <f>INDEX('Perk Values'!$L$5:$P$247,MATCH($B172,'Perk Values'!$A$5:$A$247,0),C172+1)</f>
        <v/>
      </c>
      <c r="H172" s="7">
        <f>INDEX('Perk Values'!$D$5:$D$247,MATCH($B172,'Perk Values'!$A$5:$A$247,0))</f>
        <v/>
      </c>
      <c r="I172" s="7" t="inlineStr"/>
    </row>
    <row r="173">
      <c r="A173" s="7" t="inlineStr">
        <is>
          <t>INT</t>
        </is>
      </c>
      <c r="B173" s="7" t="inlineStr">
        <is>
          <t>First Aid</t>
        </is>
      </c>
      <c r="C173" s="4">
        <f>VLOOKUP($B$4,Presets!$A$5:$IQ$6,163,FALSE)</f>
        <v/>
      </c>
      <c r="D173" s="7">
        <f>INDEX('Perk Values'!$C$5:$C$247,MATCH($B173,'Perk Values'!$A$5:$A$247,0))</f>
        <v/>
      </c>
      <c r="E173" s="7">
        <f>IF(C173&lt;=D173,"OK","exceeds max rank "&amp;D173)</f>
        <v/>
      </c>
      <c r="F173" s="7">
        <f>INDEX('Perk Values'!$G$5:$K$247,MATCH($B173,'Perk Values'!$A$5:$A$247,0),C173+1)</f>
        <v/>
      </c>
      <c r="G173" s="7">
        <f>INDEX('Perk Values'!$L$5:$P$247,MATCH($B173,'Perk Values'!$A$5:$A$247,0),C173+1)</f>
        <v/>
      </c>
      <c r="H173" s="7">
        <f>INDEX('Perk Values'!$D$5:$D$247,MATCH($B173,'Perk Values'!$A$5:$A$247,0))</f>
        <v/>
      </c>
      <c r="I173" s="7" t="inlineStr"/>
    </row>
    <row r="174">
      <c r="A174" s="7" t="inlineStr">
        <is>
          <t>INT</t>
        </is>
      </c>
      <c r="B174" s="7" t="inlineStr">
        <is>
          <t>Fix It Good</t>
        </is>
      </c>
      <c r="C174" s="4">
        <f>VLOOKUP($B$4,Presets!$A$5:$IQ$6,164,FALSE)</f>
        <v/>
      </c>
      <c r="D174" s="7">
        <f>INDEX('Perk Values'!$C$5:$C$247,MATCH($B174,'Perk Values'!$A$5:$A$247,0))</f>
        <v/>
      </c>
      <c r="E174" s="7">
        <f>IF(C174&lt;=D174,"OK","exceeds max rank "&amp;D174)</f>
        <v/>
      </c>
      <c r="F174" s="7">
        <f>INDEX('Perk Values'!$G$5:$K$247,MATCH($B174,'Perk Values'!$A$5:$A$247,0),C174+1)</f>
        <v/>
      </c>
      <c r="G174" s="7">
        <f>INDEX('Perk Values'!$L$5:$P$247,MATCH($B174,'Perk Values'!$A$5:$A$247,0),C174+1)</f>
        <v/>
      </c>
      <c r="H174" s="7">
        <f>INDEX('Perk Values'!$D$5:$D$247,MATCH($B174,'Perk Values'!$A$5:$A$247,0))</f>
        <v/>
      </c>
      <c r="I174" s="7" t="inlineStr"/>
    </row>
    <row r="175">
      <c r="A175" s="7" t="inlineStr">
        <is>
          <t>INT</t>
        </is>
      </c>
      <c r="B175" s="7" t="inlineStr">
        <is>
          <t>Good With Salt</t>
        </is>
      </c>
      <c r="C175" s="4">
        <f>VLOOKUP($B$4,Presets!$A$5:$IQ$6,165,FALSE)</f>
        <v/>
      </c>
      <c r="D175" s="7">
        <f>INDEX('Perk Values'!$C$5:$C$247,MATCH($B175,'Perk Values'!$A$5:$A$247,0))</f>
        <v/>
      </c>
      <c r="E175" s="7">
        <f>IF(C175&lt;=D175,"OK","exceeds max rank "&amp;D175)</f>
        <v/>
      </c>
      <c r="F175" s="7">
        <f>INDEX('Perk Values'!$G$5:$K$247,MATCH($B175,'Perk Values'!$A$5:$A$247,0),C175+1)</f>
        <v/>
      </c>
      <c r="G175" s="7">
        <f>INDEX('Perk Values'!$L$5:$P$247,MATCH($B175,'Perk Values'!$A$5:$A$247,0),C175+1)</f>
        <v/>
      </c>
      <c r="H175" s="7">
        <f>INDEX('Perk Values'!$D$5:$D$247,MATCH($B175,'Perk Values'!$A$5:$A$247,0))</f>
        <v/>
      </c>
      <c r="I175" s="7" t="inlineStr"/>
    </row>
    <row r="176">
      <c r="A176" s="7" t="inlineStr">
        <is>
          <t>INT</t>
        </is>
      </c>
      <c r="B176" s="7" t="inlineStr">
        <is>
          <t>Gunsmith</t>
        </is>
      </c>
      <c r="C176" s="4">
        <f>VLOOKUP($B$4,Presets!$A$5:$IQ$6,166,FALSE)</f>
        <v/>
      </c>
      <c r="D176" s="7">
        <f>INDEX('Perk Values'!$C$5:$C$247,MATCH($B176,'Perk Values'!$A$5:$A$247,0))</f>
        <v/>
      </c>
      <c r="E176" s="7">
        <f>IF(C176&lt;=D176,"OK","exceeds max rank "&amp;D176)</f>
        <v/>
      </c>
      <c r="F176" s="7">
        <f>INDEX('Perk Values'!$G$5:$K$247,MATCH($B176,'Perk Values'!$A$5:$A$247,0),C176+1)</f>
        <v/>
      </c>
      <c r="G176" s="7">
        <f>INDEX('Perk Values'!$L$5:$P$247,MATCH($B176,'Perk Values'!$A$5:$A$247,0),C176+1)</f>
        <v/>
      </c>
      <c r="H176" s="7">
        <f>INDEX('Perk Values'!$D$5:$D$247,MATCH($B176,'Perk Values'!$A$5:$A$247,0))</f>
        <v/>
      </c>
      <c r="I176" s="7" t="inlineStr"/>
    </row>
    <row r="177">
      <c r="A177" s="7" t="inlineStr">
        <is>
          <t>INT</t>
        </is>
      </c>
      <c r="B177" s="7" t="inlineStr">
        <is>
          <t>Hacker</t>
        </is>
      </c>
      <c r="C177" s="4">
        <f>VLOOKUP($B$4,Presets!$A$5:$IQ$6,167,FALSE)</f>
        <v/>
      </c>
      <c r="D177" s="7">
        <f>INDEX('Perk Values'!$C$5:$C$247,MATCH($B177,'Perk Values'!$A$5:$A$247,0))</f>
        <v/>
      </c>
      <c r="E177" s="7">
        <f>IF(C177&lt;=D177,"OK","exceeds max rank "&amp;D177)</f>
        <v/>
      </c>
      <c r="F177" s="7">
        <f>INDEX('Perk Values'!$G$5:$K$247,MATCH($B177,'Perk Values'!$A$5:$A$247,0),C177+1)</f>
        <v/>
      </c>
      <c r="G177" s="7">
        <f>INDEX('Perk Values'!$L$5:$P$247,MATCH($B177,'Perk Values'!$A$5:$A$247,0),C177+1)</f>
        <v/>
      </c>
      <c r="H177" s="7">
        <f>INDEX('Perk Values'!$D$5:$D$247,MATCH($B177,'Perk Values'!$A$5:$A$247,0))</f>
        <v/>
      </c>
      <c r="I177" s="7" t="inlineStr"/>
    </row>
    <row r="178">
      <c r="A178" s="7" t="inlineStr">
        <is>
          <t>INT</t>
        </is>
      </c>
      <c r="B178" s="7" t="inlineStr">
        <is>
          <t>Licensed Plumber</t>
        </is>
      </c>
      <c r="C178" s="4">
        <f>VLOOKUP($B$4,Presets!$A$5:$IQ$6,168,FALSE)</f>
        <v/>
      </c>
      <c r="D178" s="7">
        <f>INDEX('Perk Values'!$C$5:$C$247,MATCH($B178,'Perk Values'!$A$5:$A$247,0))</f>
        <v/>
      </c>
      <c r="E178" s="7">
        <f>IF(C178&lt;=D178,"OK","exceeds max rank "&amp;D178)</f>
        <v/>
      </c>
      <c r="F178" s="7">
        <f>INDEX('Perk Values'!$G$5:$K$247,MATCH($B178,'Perk Values'!$A$5:$A$247,0),C178+1)</f>
        <v/>
      </c>
      <c r="G178" s="7">
        <f>INDEX('Perk Values'!$L$5:$P$247,MATCH($B178,'Perk Values'!$A$5:$A$247,0),C178+1)</f>
        <v/>
      </c>
      <c r="H178" s="7">
        <f>INDEX('Perk Values'!$D$5:$D$247,MATCH($B178,'Perk Values'!$A$5:$A$247,0))</f>
        <v/>
      </c>
      <c r="I178" s="7" t="inlineStr"/>
    </row>
    <row r="179">
      <c r="A179" s="7" t="inlineStr">
        <is>
          <t>INT</t>
        </is>
      </c>
      <c r="B179" s="7" t="inlineStr">
        <is>
          <t>Makeshift Warrior</t>
        </is>
      </c>
      <c r="C179" s="4">
        <f>VLOOKUP($B$4,Presets!$A$5:$IQ$6,169,FALSE)</f>
        <v/>
      </c>
      <c r="D179" s="7">
        <f>INDEX('Perk Values'!$C$5:$C$247,MATCH($B179,'Perk Values'!$A$5:$A$247,0))</f>
        <v/>
      </c>
      <c r="E179" s="7">
        <f>IF(C179&lt;=D179,"OK","exceeds max rank "&amp;D179)</f>
        <v/>
      </c>
      <c r="F179" s="7">
        <f>INDEX('Perk Values'!$G$5:$K$247,MATCH($B179,'Perk Values'!$A$5:$A$247,0),C179+1)</f>
        <v/>
      </c>
      <c r="G179" s="7">
        <f>INDEX('Perk Values'!$L$5:$P$247,MATCH($B179,'Perk Values'!$A$5:$A$247,0),C179+1)</f>
        <v/>
      </c>
      <c r="H179" s="7">
        <f>INDEX('Perk Values'!$D$5:$D$247,MATCH($B179,'Perk Values'!$A$5:$A$247,0))</f>
        <v/>
      </c>
      <c r="I179" s="7" t="inlineStr"/>
    </row>
    <row r="180">
      <c r="A180" s="7" t="inlineStr">
        <is>
          <t>INT</t>
        </is>
      </c>
      <c r="B180" s="7" t="inlineStr">
        <is>
          <t>Master Hacker</t>
        </is>
      </c>
      <c r="C180" s="4">
        <f>VLOOKUP($B$4,Presets!$A$5:$IQ$6,170,FALSE)</f>
        <v/>
      </c>
      <c r="D180" s="7">
        <f>INDEX('Perk Values'!$C$5:$C$247,MATCH($B180,'Perk Values'!$A$5:$A$247,0))</f>
        <v/>
      </c>
      <c r="E180" s="7">
        <f>IF(C180&lt;=D180,"OK","exceeds max rank "&amp;D180)</f>
        <v/>
      </c>
      <c r="F180" s="7">
        <f>INDEX('Perk Values'!$G$5:$K$247,MATCH($B180,'Perk Values'!$A$5:$A$247,0),C180+1)</f>
        <v/>
      </c>
      <c r="G180" s="7">
        <f>INDEX('Perk Values'!$L$5:$P$247,MATCH($B180,'Perk Values'!$A$5:$A$247,0),C180+1)</f>
        <v/>
      </c>
      <c r="H180" s="7">
        <f>INDEX('Perk Values'!$D$5:$D$247,MATCH($B180,'Perk Values'!$A$5:$A$247,0))</f>
        <v/>
      </c>
      <c r="I180" s="7" t="inlineStr"/>
    </row>
    <row r="181">
      <c r="A181" s="7" t="inlineStr">
        <is>
          <t>INT</t>
        </is>
      </c>
      <c r="B181" s="7" t="inlineStr">
        <is>
          <t>Nerd Rage!</t>
        </is>
      </c>
      <c r="C181" s="4">
        <f>VLOOKUP($B$4,Presets!$A$5:$IQ$6,171,FALSE)</f>
        <v/>
      </c>
      <c r="D181" s="7">
        <f>INDEX('Perk Values'!$C$5:$C$247,MATCH($B181,'Perk Values'!$A$5:$A$247,0))</f>
        <v/>
      </c>
      <c r="E181" s="7">
        <f>IF(C181&lt;=D181,"OK","exceeds max rank "&amp;D181)</f>
        <v/>
      </c>
      <c r="F181" s="7">
        <f>INDEX('Perk Values'!$G$5:$K$247,MATCH($B181,'Perk Values'!$A$5:$A$247,0),C181+1)</f>
        <v/>
      </c>
      <c r="G181" s="7">
        <f>INDEX('Perk Values'!$L$5:$P$247,MATCH($B181,'Perk Values'!$A$5:$A$247,0),C181+1)</f>
        <v/>
      </c>
      <c r="H181" s="7">
        <f>INDEX('Perk Values'!$D$5:$D$247,MATCH($B181,'Perk Values'!$A$5:$A$247,0))</f>
        <v/>
      </c>
      <c r="I181" s="7" t="inlineStr"/>
    </row>
    <row r="182">
      <c r="A182" s="7" t="inlineStr">
        <is>
          <t>INT</t>
        </is>
      </c>
      <c r="B182" s="7" t="inlineStr">
        <is>
          <t>Pharmacist</t>
        </is>
      </c>
      <c r="C182" s="4">
        <f>VLOOKUP($B$4,Presets!$A$5:$IQ$6,172,FALSE)</f>
        <v/>
      </c>
      <c r="D182" s="7">
        <f>INDEX('Perk Values'!$C$5:$C$247,MATCH($B182,'Perk Values'!$A$5:$A$247,0))</f>
        <v/>
      </c>
      <c r="E182" s="7">
        <f>IF(C182&lt;=D182,"OK","exceeds max rank "&amp;D182)</f>
        <v/>
      </c>
      <c r="F182" s="7">
        <f>INDEX('Perk Values'!$G$5:$K$247,MATCH($B182,'Perk Values'!$A$5:$A$247,0),C182+1)</f>
        <v/>
      </c>
      <c r="G182" s="7">
        <f>INDEX('Perk Values'!$L$5:$P$247,MATCH($B182,'Perk Values'!$A$5:$A$247,0),C182+1)</f>
        <v/>
      </c>
      <c r="H182" s="7">
        <f>INDEX('Perk Values'!$D$5:$D$247,MATCH($B182,'Perk Values'!$A$5:$A$247,0))</f>
        <v/>
      </c>
      <c r="I182" s="7" t="inlineStr"/>
    </row>
    <row r="183">
      <c r="A183" s="7" t="inlineStr">
        <is>
          <t>INT</t>
        </is>
      </c>
      <c r="B183" s="7" t="inlineStr">
        <is>
          <t>Power Patcher</t>
        </is>
      </c>
      <c r="C183" s="4">
        <f>VLOOKUP($B$4,Presets!$A$5:$IQ$6,173,FALSE)</f>
        <v/>
      </c>
      <c r="D183" s="7">
        <f>INDEX('Perk Values'!$C$5:$C$247,MATCH($B183,'Perk Values'!$A$5:$A$247,0))</f>
        <v/>
      </c>
      <c r="E183" s="7">
        <f>IF(C183&lt;=D183,"OK","exceeds max rank "&amp;D183)</f>
        <v/>
      </c>
      <c r="F183" s="7">
        <f>INDEX('Perk Values'!$G$5:$K$247,MATCH($B183,'Perk Values'!$A$5:$A$247,0),C183+1)</f>
        <v/>
      </c>
      <c r="G183" s="7">
        <f>INDEX('Perk Values'!$L$5:$P$247,MATCH($B183,'Perk Values'!$A$5:$A$247,0),C183+1)</f>
        <v/>
      </c>
      <c r="H183" s="7">
        <f>INDEX('Perk Values'!$D$5:$D$247,MATCH($B183,'Perk Values'!$A$5:$A$247,0))</f>
        <v/>
      </c>
      <c r="I183" s="7" t="inlineStr"/>
    </row>
    <row r="184">
      <c r="A184" s="7" t="inlineStr">
        <is>
          <t>INT</t>
        </is>
      </c>
      <c r="B184" s="7" t="inlineStr">
        <is>
          <t>Power Smith</t>
        </is>
      </c>
      <c r="C184" s="4">
        <f>VLOOKUP($B$4,Presets!$A$5:$IQ$6,174,FALSE)</f>
        <v/>
      </c>
      <c r="D184" s="7">
        <f>INDEX('Perk Values'!$C$5:$C$247,MATCH($B184,'Perk Values'!$A$5:$A$247,0))</f>
        <v/>
      </c>
      <c r="E184" s="7">
        <f>IF(C184&lt;=D184,"OK","exceeds max rank "&amp;D184)</f>
        <v/>
      </c>
      <c r="F184" s="7">
        <f>INDEX('Perk Values'!$G$5:$K$247,MATCH($B184,'Perk Values'!$A$5:$A$247,0),C184+1)</f>
        <v/>
      </c>
      <c r="G184" s="7">
        <f>INDEX('Perk Values'!$L$5:$P$247,MATCH($B184,'Perk Values'!$A$5:$A$247,0),C184+1)</f>
        <v/>
      </c>
      <c r="H184" s="7">
        <f>INDEX('Perk Values'!$D$5:$D$247,MATCH($B184,'Perk Values'!$A$5:$A$247,0))</f>
        <v/>
      </c>
      <c r="I184" s="7" t="inlineStr"/>
    </row>
    <row r="185">
      <c r="A185" s="7" t="inlineStr">
        <is>
          <t>INT</t>
        </is>
      </c>
      <c r="B185" s="7" t="inlineStr">
        <is>
          <t>Power User</t>
        </is>
      </c>
      <c r="C185" s="4">
        <f>VLOOKUP($B$4,Presets!$A$5:$IQ$6,175,FALSE)</f>
        <v/>
      </c>
      <c r="D185" s="7">
        <f>INDEX('Perk Values'!$C$5:$C$247,MATCH($B185,'Perk Values'!$A$5:$A$247,0))</f>
        <v/>
      </c>
      <c r="E185" s="7">
        <f>IF(C185&lt;=D185,"OK","exceeds max rank "&amp;D185)</f>
        <v/>
      </c>
      <c r="F185" s="7">
        <f>INDEX('Perk Values'!$G$5:$K$247,MATCH($B185,'Perk Values'!$A$5:$A$247,0),C185+1)</f>
        <v/>
      </c>
      <c r="G185" s="7">
        <f>INDEX('Perk Values'!$L$5:$P$247,MATCH($B185,'Perk Values'!$A$5:$A$247,0),C185+1)</f>
        <v/>
      </c>
      <c r="H185" s="7">
        <f>INDEX('Perk Values'!$D$5:$D$247,MATCH($B185,'Perk Values'!$A$5:$A$247,0))</f>
        <v/>
      </c>
      <c r="I185" s="7" t="inlineStr"/>
    </row>
    <row r="186">
      <c r="A186" s="7" t="inlineStr">
        <is>
          <t>INT</t>
        </is>
      </c>
      <c r="B186" s="7" t="inlineStr">
        <is>
          <t>Pyro-Technician</t>
        </is>
      </c>
      <c r="C186" s="4">
        <f>VLOOKUP($B$4,Presets!$A$5:$IQ$6,176,FALSE)</f>
        <v/>
      </c>
      <c r="D186" s="7">
        <f>INDEX('Perk Values'!$C$5:$C$247,MATCH($B186,'Perk Values'!$A$5:$A$247,0))</f>
        <v/>
      </c>
      <c r="E186" s="7">
        <f>IF(C186&lt;=D186,"OK","exceeds max rank "&amp;D186)</f>
        <v/>
      </c>
      <c r="F186" s="7">
        <f>INDEX('Perk Values'!$G$5:$K$247,MATCH($B186,'Perk Values'!$A$5:$A$247,0),C186+1)</f>
        <v/>
      </c>
      <c r="G186" s="7">
        <f>INDEX('Perk Values'!$L$5:$P$247,MATCH($B186,'Perk Values'!$A$5:$A$247,0),C186+1)</f>
        <v/>
      </c>
      <c r="H186" s="7">
        <f>INDEX('Perk Values'!$D$5:$D$247,MATCH($B186,'Perk Values'!$A$5:$A$247,0))</f>
        <v/>
      </c>
      <c r="I186" s="7" t="inlineStr"/>
    </row>
    <row r="187">
      <c r="A187" s="7" t="inlineStr">
        <is>
          <t>INT</t>
        </is>
      </c>
      <c r="B187" s="7" t="inlineStr">
        <is>
          <t>Robotics Expert</t>
        </is>
      </c>
      <c r="C187" s="4">
        <f>VLOOKUP($B$4,Presets!$A$5:$IQ$6,177,FALSE)</f>
        <v/>
      </c>
      <c r="D187" s="7">
        <f>INDEX('Perk Values'!$C$5:$C$247,MATCH($B187,'Perk Values'!$A$5:$A$247,0))</f>
        <v/>
      </c>
      <c r="E187" s="7">
        <f>IF(C187&lt;=D187,"OK","exceeds max rank "&amp;D187)</f>
        <v/>
      </c>
      <c r="F187" s="7">
        <f>INDEX('Perk Values'!$G$5:$K$247,MATCH($B187,'Perk Values'!$A$5:$A$247,0),C187+1)</f>
        <v/>
      </c>
      <c r="G187" s="7">
        <f>INDEX('Perk Values'!$L$5:$P$247,MATCH($B187,'Perk Values'!$A$5:$A$247,0),C187+1)</f>
        <v/>
      </c>
      <c r="H187" s="7">
        <f>INDEX('Perk Values'!$D$5:$D$247,MATCH($B187,'Perk Values'!$A$5:$A$247,0))</f>
        <v/>
      </c>
      <c r="I187" s="7" t="inlineStr"/>
    </row>
    <row r="188">
      <c r="A188" s="7" t="inlineStr">
        <is>
          <t>INT</t>
        </is>
      </c>
      <c r="B188" s="7" t="inlineStr">
        <is>
          <t>Science!</t>
        </is>
      </c>
      <c r="C188" s="4">
        <f>VLOOKUP($B$4,Presets!$A$5:$IQ$6,178,FALSE)</f>
        <v/>
      </c>
      <c r="D188" s="7">
        <f>INDEX('Perk Values'!$C$5:$C$247,MATCH($B188,'Perk Values'!$A$5:$A$247,0))</f>
        <v/>
      </c>
      <c r="E188" s="7">
        <f>IF(C188&lt;=D188,"OK","exceeds max rank "&amp;D188)</f>
        <v/>
      </c>
      <c r="F188" s="7">
        <f>INDEX('Perk Values'!$G$5:$K$247,MATCH($B188,'Perk Values'!$A$5:$A$247,0),C188+1)</f>
        <v/>
      </c>
      <c r="G188" s="7">
        <f>INDEX('Perk Values'!$L$5:$P$247,MATCH($B188,'Perk Values'!$A$5:$A$247,0),C188+1)</f>
        <v/>
      </c>
      <c r="H188" s="7">
        <f>INDEX('Perk Values'!$D$5:$D$247,MATCH($B188,'Perk Values'!$A$5:$A$247,0))</f>
        <v/>
      </c>
      <c r="I188" s="7" t="inlineStr"/>
    </row>
    <row r="189">
      <c r="A189" s="7" t="inlineStr">
        <is>
          <t>INT</t>
        </is>
      </c>
      <c r="B189" s="7" t="inlineStr">
        <is>
          <t>Scrapper</t>
        </is>
      </c>
      <c r="C189" s="4">
        <f>VLOOKUP($B$4,Presets!$A$5:$IQ$6,179,FALSE)</f>
        <v/>
      </c>
      <c r="D189" s="7">
        <f>INDEX('Perk Values'!$C$5:$C$247,MATCH($B189,'Perk Values'!$A$5:$A$247,0))</f>
        <v/>
      </c>
      <c r="E189" s="7">
        <f>IF(C189&lt;=D189,"OK","exceeds max rank "&amp;D189)</f>
        <v/>
      </c>
      <c r="F189" s="7">
        <f>INDEX('Perk Values'!$G$5:$K$247,MATCH($B189,'Perk Values'!$A$5:$A$247,0),C189+1)</f>
        <v/>
      </c>
      <c r="G189" s="7">
        <f>INDEX('Perk Values'!$L$5:$P$247,MATCH($B189,'Perk Values'!$A$5:$A$247,0),C189+1)</f>
        <v/>
      </c>
      <c r="H189" s="7">
        <f>INDEX('Perk Values'!$D$5:$D$247,MATCH($B189,'Perk Values'!$A$5:$A$247,0))</f>
        <v/>
      </c>
      <c r="I189" s="7" t="inlineStr"/>
    </row>
    <row r="190">
      <c r="A190" s="7" t="inlineStr">
        <is>
          <t>INT</t>
        </is>
      </c>
      <c r="B190" s="7" t="inlineStr">
        <is>
          <t>Stabilized</t>
        </is>
      </c>
      <c r="C190" s="4">
        <f>VLOOKUP($B$4,Presets!$A$5:$IQ$6,180,FALSE)</f>
        <v/>
      </c>
      <c r="D190" s="7">
        <f>INDEX('Perk Values'!$C$5:$C$247,MATCH($B190,'Perk Values'!$A$5:$A$247,0))</f>
        <v/>
      </c>
      <c r="E190" s="7">
        <f>IF(C190&lt;=D190,"OK","exceeds max rank "&amp;D190)</f>
        <v/>
      </c>
      <c r="F190" s="7">
        <f>INDEX('Perk Values'!$G$5:$K$247,MATCH($B190,'Perk Values'!$A$5:$A$247,0),C190+1)</f>
        <v/>
      </c>
      <c r="G190" s="7">
        <f>INDEX('Perk Values'!$L$5:$P$247,MATCH($B190,'Perk Values'!$A$5:$A$247,0),C190+1)</f>
        <v/>
      </c>
      <c r="H190" s="7">
        <f>INDEX('Perk Values'!$D$5:$D$247,MATCH($B190,'Perk Values'!$A$5:$A$247,0))</f>
        <v/>
      </c>
      <c r="I190" s="7" t="inlineStr"/>
    </row>
    <row r="191">
      <c r="A191" s="7" t="inlineStr">
        <is>
          <t>INT</t>
        </is>
      </c>
      <c r="B191" s="7" t="inlineStr">
        <is>
          <t>Stable Tools</t>
        </is>
      </c>
      <c r="C191" s="4">
        <f>VLOOKUP($B$4,Presets!$A$5:$IQ$6,181,FALSE)</f>
        <v/>
      </c>
      <c r="D191" s="7">
        <f>INDEX('Perk Values'!$C$5:$C$247,MATCH($B191,'Perk Values'!$A$5:$A$247,0))</f>
        <v/>
      </c>
      <c r="E191" s="7">
        <f>IF(C191&lt;=D191,"OK","exceeds max rank "&amp;D191)</f>
        <v/>
      </c>
      <c r="F191" s="7">
        <f>INDEX('Perk Values'!$G$5:$K$247,MATCH($B191,'Perk Values'!$A$5:$A$247,0),C191+1)</f>
        <v/>
      </c>
      <c r="G191" s="7">
        <f>INDEX('Perk Values'!$L$5:$P$247,MATCH($B191,'Perk Values'!$A$5:$A$247,0),C191+1)</f>
        <v/>
      </c>
      <c r="H191" s="7">
        <f>INDEX('Perk Values'!$D$5:$D$247,MATCH($B191,'Perk Values'!$A$5:$A$247,0))</f>
        <v/>
      </c>
      <c r="I191" s="7" t="inlineStr"/>
    </row>
    <row r="192">
      <c r="A192" s="7" t="inlineStr">
        <is>
          <t>INT</t>
        </is>
      </c>
      <c r="B192" s="7" t="inlineStr">
        <is>
          <t>Weapon Artisan</t>
        </is>
      </c>
      <c r="C192" s="4">
        <f>VLOOKUP($B$4,Presets!$A$5:$IQ$6,182,FALSE)</f>
        <v/>
      </c>
      <c r="D192" s="7">
        <f>INDEX('Perk Values'!$C$5:$C$247,MATCH($B192,'Perk Values'!$A$5:$A$247,0))</f>
        <v/>
      </c>
      <c r="E192" s="7">
        <f>IF(C192&lt;=D192,"OK","exceeds max rank "&amp;D192)</f>
        <v/>
      </c>
      <c r="F192" s="7">
        <f>INDEX('Perk Values'!$G$5:$K$247,MATCH($B192,'Perk Values'!$A$5:$A$247,0),C192+1)</f>
        <v/>
      </c>
      <c r="G192" s="7">
        <f>INDEX('Perk Values'!$L$5:$P$247,MATCH($B192,'Perk Values'!$A$5:$A$247,0),C192+1)</f>
        <v/>
      </c>
      <c r="H192" s="7">
        <f>INDEX('Perk Values'!$D$5:$D$247,MATCH($B192,'Perk Values'!$A$5:$A$247,0))</f>
        <v/>
      </c>
      <c r="I192" s="7" t="inlineStr"/>
    </row>
    <row r="193">
      <c r="A193" s="7" t="inlineStr">
        <is>
          <t>INT</t>
        </is>
      </c>
      <c r="B193" s="7" t="inlineStr">
        <is>
          <t>White Knight</t>
        </is>
      </c>
      <c r="C193" s="4">
        <f>VLOOKUP($B$4,Presets!$A$5:$IQ$6,183,FALSE)</f>
        <v/>
      </c>
      <c r="D193" s="7">
        <f>INDEX('Perk Values'!$C$5:$C$247,MATCH($B193,'Perk Values'!$A$5:$A$247,0))</f>
        <v/>
      </c>
      <c r="E193" s="7">
        <f>IF(C193&lt;=D193,"OK","exceeds max rank "&amp;D193)</f>
        <v/>
      </c>
      <c r="F193" s="7">
        <f>INDEX('Perk Values'!$G$5:$K$247,MATCH($B193,'Perk Values'!$A$5:$A$247,0),C193+1)</f>
        <v/>
      </c>
      <c r="G193" s="7">
        <f>INDEX('Perk Values'!$L$5:$P$247,MATCH($B193,'Perk Values'!$A$5:$A$247,0),C193+1)</f>
        <v/>
      </c>
      <c r="H193" s="7">
        <f>INDEX('Perk Values'!$D$5:$D$247,MATCH($B193,'Perk Values'!$A$5:$A$247,0))</f>
        <v/>
      </c>
      <c r="I193" s="7" t="inlineStr"/>
    </row>
    <row r="194">
      <c r="A194" s="7" t="inlineStr">
        <is>
          <t>INT</t>
        </is>
      </c>
      <c r="B194" s="7" t="inlineStr">
        <is>
          <t>Bomb Scientist</t>
        </is>
      </c>
      <c r="C194" s="4">
        <f>VLOOKUP($B$4,Presets!$A$5:$IQ$6,184,FALSE)</f>
        <v/>
      </c>
      <c r="D194" s="7">
        <f>INDEX('Perk Values'!$C$5:$C$247,MATCH($B194,'Perk Values'!$A$5:$A$247,0))</f>
        <v/>
      </c>
      <c r="E194" s="7">
        <f>IF(C194&lt;=D194,"OK","exceeds max rank "&amp;D194)</f>
        <v/>
      </c>
      <c r="F194" s="7">
        <f>INDEX('Perk Values'!$G$5:$K$247,MATCH($B194,'Perk Values'!$A$5:$A$247,0),C194+1)</f>
        <v/>
      </c>
      <c r="G194" s="7">
        <f>INDEX('Perk Values'!$L$5:$P$247,MATCH($B194,'Perk Values'!$A$5:$A$247,0),C194+1)</f>
        <v/>
      </c>
      <c r="H194" s="7">
        <f>INDEX('Perk Values'!$D$5:$D$247,MATCH($B194,'Perk Values'!$A$5:$A$247,0))</f>
        <v/>
      </c>
      <c r="I194" s="7" t="inlineStr"/>
    </row>
    <row r="195">
      <c r="A195" s="7" t="inlineStr">
        <is>
          <t>INT</t>
        </is>
      </c>
      <c r="B195" s="7" t="inlineStr">
        <is>
          <t>Mad Scientist</t>
        </is>
      </c>
      <c r="C195" s="4">
        <f>VLOOKUP($B$4,Presets!$A$5:$IQ$6,185,FALSE)</f>
        <v/>
      </c>
      <c r="D195" s="7">
        <f>INDEX('Perk Values'!$C$5:$C$247,MATCH($B195,'Perk Values'!$A$5:$A$247,0))</f>
        <v/>
      </c>
      <c r="E195" s="7">
        <f>IF(C195&lt;=D195,"OK","exceeds max rank "&amp;D195)</f>
        <v/>
      </c>
      <c r="F195" s="7">
        <f>INDEX('Perk Values'!$G$5:$K$247,MATCH($B195,'Perk Values'!$A$5:$A$247,0),C195+1)</f>
        <v/>
      </c>
      <c r="G195" s="7">
        <f>INDEX('Perk Values'!$L$5:$P$247,MATCH($B195,'Perk Values'!$A$5:$A$247,0),C195+1)</f>
        <v/>
      </c>
      <c r="H195" s="7">
        <f>INDEX('Perk Values'!$D$5:$D$247,MATCH($B195,'Perk Values'!$A$5:$A$247,0))</f>
        <v/>
      </c>
      <c r="I195" s="7" t="inlineStr"/>
    </row>
    <row r="196">
      <c r="A196" s="7" t="inlineStr">
        <is>
          <t>INT</t>
        </is>
      </c>
      <c r="B196" s="7" t="inlineStr">
        <is>
          <t>Rad Specialist</t>
        </is>
      </c>
      <c r="C196" s="4">
        <f>VLOOKUP($B$4,Presets!$A$5:$IQ$6,186,FALSE)</f>
        <v/>
      </c>
      <c r="D196" s="7">
        <f>INDEX('Perk Values'!$C$5:$C$247,MATCH($B196,'Perk Values'!$A$5:$A$247,0))</f>
        <v/>
      </c>
      <c r="E196" s="7">
        <f>IF(C196&lt;=D196,"OK","exceeds max rank "&amp;D196)</f>
        <v/>
      </c>
      <c r="F196" s="7">
        <f>INDEX('Perk Values'!$G$5:$K$247,MATCH($B196,'Perk Values'!$A$5:$A$247,0),C196+1)</f>
        <v/>
      </c>
      <c r="G196" s="7">
        <f>INDEX('Perk Values'!$L$5:$P$247,MATCH($B196,'Perk Values'!$A$5:$A$247,0),C196+1)</f>
        <v/>
      </c>
      <c r="H196" s="7">
        <f>INDEX('Perk Values'!$D$5:$D$247,MATCH($B196,'Perk Values'!$A$5:$A$247,0))</f>
        <v/>
      </c>
      <c r="I196" s="7" t="inlineStr"/>
    </row>
    <row r="197">
      <c r="A197" s="7" t="inlineStr">
        <is>
          <t>INT</t>
        </is>
      </c>
      <c r="B197" s="7" t="inlineStr">
        <is>
          <t>Science Monster</t>
        </is>
      </c>
      <c r="C197" s="4">
        <f>VLOOKUP($B$4,Presets!$A$5:$IQ$6,187,FALSE)</f>
        <v/>
      </c>
      <c r="D197" s="7">
        <f>INDEX('Perk Values'!$C$5:$C$247,MATCH($B197,'Perk Values'!$A$5:$A$247,0))</f>
        <v/>
      </c>
      <c r="E197" s="7">
        <f>IF(C197&lt;=D197,"OK","exceeds max rank "&amp;D197)</f>
        <v/>
      </c>
      <c r="F197" s="7">
        <f>INDEX('Perk Values'!$G$5:$K$247,MATCH($B197,'Perk Values'!$A$5:$A$247,0),C197+1)</f>
        <v/>
      </c>
      <c r="G197" s="7">
        <f>INDEX('Perk Values'!$L$5:$P$247,MATCH($B197,'Perk Values'!$A$5:$A$247,0),C197+1)</f>
        <v/>
      </c>
      <c r="H197" s="7">
        <f>INDEX('Perk Values'!$D$5:$D$247,MATCH($B197,'Perk Values'!$A$5:$A$247,0))</f>
        <v/>
      </c>
      <c r="I197" s="7" t="inlineStr"/>
    </row>
    <row r="198">
      <c r="A198" s="7" t="inlineStr">
        <is>
          <t>AGI</t>
        </is>
      </c>
      <c r="B198" s="7" t="inlineStr">
        <is>
          <t>Action Boy</t>
        </is>
      </c>
      <c r="C198" s="4">
        <f>VLOOKUP($B$4,Presets!$A$5:$IQ$6,188,FALSE)</f>
        <v/>
      </c>
      <c r="D198" s="7">
        <f>INDEX('Perk Values'!$C$5:$C$247,MATCH($B198,'Perk Values'!$A$5:$A$247,0))</f>
        <v/>
      </c>
      <c r="E198" s="7">
        <f>IF(C198&lt;=D198,"OK","exceeds max rank "&amp;D198)</f>
        <v/>
      </c>
      <c r="F198" s="7">
        <f>INDEX('Perk Values'!$G$5:$K$247,MATCH($B198,'Perk Values'!$A$5:$A$247,0),C198+1)</f>
        <v/>
      </c>
      <c r="G198" s="7">
        <f>INDEX('Perk Values'!$L$5:$P$247,MATCH($B198,'Perk Values'!$A$5:$A$247,0),C198+1)</f>
        <v/>
      </c>
      <c r="H198" s="7">
        <f>INDEX('Perk Values'!$D$5:$D$247,MATCH($B198,'Perk Values'!$A$5:$A$247,0))</f>
        <v/>
      </c>
      <c r="I198" s="7" t="inlineStr"/>
    </row>
    <row r="199">
      <c r="A199" s="7" t="inlineStr">
        <is>
          <t>AGI</t>
        </is>
      </c>
      <c r="B199" s="7" t="inlineStr">
        <is>
          <t>Action Girl</t>
        </is>
      </c>
      <c r="C199" s="4">
        <f>VLOOKUP($B$4,Presets!$A$5:$IQ$6,189,FALSE)</f>
        <v/>
      </c>
      <c r="D199" s="7">
        <f>INDEX('Perk Values'!$C$5:$C$247,MATCH($B199,'Perk Values'!$A$5:$A$247,0))</f>
        <v/>
      </c>
      <c r="E199" s="7">
        <f>IF(C199&lt;=D199,"OK","exceeds max rank "&amp;D199)</f>
        <v/>
      </c>
      <c r="F199" s="7">
        <f>INDEX('Perk Values'!$G$5:$K$247,MATCH($B199,'Perk Values'!$A$5:$A$247,0),C199+1)</f>
        <v/>
      </c>
      <c r="G199" s="7">
        <f>INDEX('Perk Values'!$L$5:$P$247,MATCH($B199,'Perk Values'!$A$5:$A$247,0),C199+1)</f>
        <v/>
      </c>
      <c r="H199" s="7">
        <f>INDEX('Perk Values'!$D$5:$D$247,MATCH($B199,'Perk Values'!$A$5:$A$247,0))</f>
        <v/>
      </c>
      <c r="I199" s="7" t="inlineStr"/>
    </row>
    <row r="200">
      <c r="A200" s="7" t="inlineStr">
        <is>
          <t>AGI</t>
        </is>
      </c>
      <c r="B200" s="7" t="inlineStr">
        <is>
          <t>Adrenaline</t>
        </is>
      </c>
      <c r="C200" s="4">
        <f>VLOOKUP($B$4,Presets!$A$5:$IQ$6,190,FALSE)</f>
        <v/>
      </c>
      <c r="D200" s="7">
        <f>INDEX('Perk Values'!$C$5:$C$247,MATCH($B200,'Perk Values'!$A$5:$A$247,0))</f>
        <v/>
      </c>
      <c r="E200" s="7">
        <f>IF(C200&lt;=D200,"OK","exceeds max rank "&amp;D200)</f>
        <v/>
      </c>
      <c r="F200" s="7">
        <f>INDEX('Perk Values'!$G$5:$K$247,MATCH($B200,'Perk Values'!$A$5:$A$247,0),C200+1)</f>
        <v/>
      </c>
      <c r="G200" s="7">
        <f>INDEX('Perk Values'!$L$5:$P$247,MATCH($B200,'Perk Values'!$A$5:$A$247,0),C200+1)</f>
        <v/>
      </c>
      <c r="H200" s="7">
        <f>INDEX('Perk Values'!$D$5:$D$247,MATCH($B200,'Perk Values'!$A$5:$A$247,0))</f>
        <v/>
      </c>
      <c r="I200" s="7" t="inlineStr"/>
    </row>
    <row r="201">
      <c r="A201" s="7" t="inlineStr">
        <is>
          <t>AGI</t>
        </is>
      </c>
      <c r="B201" s="7" t="inlineStr">
        <is>
          <t>Ammosmith</t>
        </is>
      </c>
      <c r="C201" s="4">
        <f>VLOOKUP($B$4,Presets!$A$5:$IQ$6,191,FALSE)</f>
        <v/>
      </c>
      <c r="D201" s="7">
        <f>INDEX('Perk Values'!$C$5:$C$247,MATCH($B201,'Perk Values'!$A$5:$A$247,0))</f>
        <v/>
      </c>
      <c r="E201" s="7">
        <f>IF(C201&lt;=D201,"OK","exceeds max rank "&amp;D201)</f>
        <v/>
      </c>
      <c r="F201" s="7">
        <f>INDEX('Perk Values'!$G$5:$K$247,MATCH($B201,'Perk Values'!$A$5:$A$247,0),C201+1)</f>
        <v/>
      </c>
      <c r="G201" s="7">
        <f>INDEX('Perk Values'!$L$5:$P$247,MATCH($B201,'Perk Values'!$A$5:$A$247,0),C201+1)</f>
        <v/>
      </c>
      <c r="H201" s="7">
        <f>INDEX('Perk Values'!$D$5:$D$247,MATCH($B201,'Perk Values'!$A$5:$A$247,0))</f>
        <v/>
      </c>
      <c r="I201" s="7" t="inlineStr"/>
    </row>
    <row r="202">
      <c r="A202" s="7" t="inlineStr">
        <is>
          <t>AGI</t>
        </is>
      </c>
      <c r="B202" s="7" t="inlineStr">
        <is>
          <t>Born Survivor</t>
        </is>
      </c>
      <c r="C202" s="4">
        <f>VLOOKUP($B$4,Presets!$A$5:$IQ$6,192,FALSE)</f>
        <v/>
      </c>
      <c r="D202" s="7">
        <f>INDEX('Perk Values'!$C$5:$C$247,MATCH($B202,'Perk Values'!$A$5:$A$247,0))</f>
        <v/>
      </c>
      <c r="E202" s="7">
        <f>IF(C202&lt;=D202,"OK","exceeds max rank "&amp;D202)</f>
        <v/>
      </c>
      <c r="F202" s="7">
        <f>INDEX('Perk Values'!$G$5:$K$247,MATCH($B202,'Perk Values'!$A$5:$A$247,0),C202+1)</f>
        <v/>
      </c>
      <c r="G202" s="7">
        <f>INDEX('Perk Values'!$L$5:$P$247,MATCH($B202,'Perk Values'!$A$5:$A$247,0),C202+1)</f>
        <v/>
      </c>
      <c r="H202" s="7">
        <f>INDEX('Perk Values'!$D$5:$D$247,MATCH($B202,'Perk Values'!$A$5:$A$247,0))</f>
        <v/>
      </c>
      <c r="I202" s="7" t="inlineStr"/>
    </row>
    <row r="203">
      <c r="A203" s="7" t="inlineStr">
        <is>
          <t>AGI</t>
        </is>
      </c>
      <c r="B203" s="7" t="inlineStr">
        <is>
          <t>Covert Operative</t>
        </is>
      </c>
      <c r="C203" s="4">
        <f>VLOOKUP($B$4,Presets!$A$5:$IQ$6,193,FALSE)</f>
        <v/>
      </c>
      <c r="D203" s="7">
        <f>INDEX('Perk Values'!$C$5:$C$247,MATCH($B203,'Perk Values'!$A$5:$A$247,0))</f>
        <v/>
      </c>
      <c r="E203" s="7">
        <f>IF(C203&lt;=D203,"OK","exceeds max rank "&amp;D203)</f>
        <v/>
      </c>
      <c r="F203" s="7">
        <f>INDEX('Perk Values'!$G$5:$K$247,MATCH($B203,'Perk Values'!$A$5:$A$247,0),C203+1)</f>
        <v/>
      </c>
      <c r="G203" s="7">
        <f>INDEX('Perk Values'!$L$5:$P$247,MATCH($B203,'Perk Values'!$A$5:$A$247,0),C203+1)</f>
        <v/>
      </c>
      <c r="H203" s="7">
        <f>INDEX('Perk Values'!$D$5:$D$247,MATCH($B203,'Perk Values'!$A$5:$A$247,0))</f>
        <v/>
      </c>
      <c r="I203" s="7" t="inlineStr"/>
    </row>
    <row r="204">
      <c r="A204" s="7" t="inlineStr">
        <is>
          <t>AGI</t>
        </is>
      </c>
      <c r="B204" s="7" t="inlineStr">
        <is>
          <t>Dead Man Sprinting</t>
        </is>
      </c>
      <c r="C204" s="4">
        <f>VLOOKUP($B$4,Presets!$A$5:$IQ$6,194,FALSE)</f>
        <v/>
      </c>
      <c r="D204" s="7">
        <f>INDEX('Perk Values'!$C$5:$C$247,MATCH($B204,'Perk Values'!$A$5:$A$247,0))</f>
        <v/>
      </c>
      <c r="E204" s="7">
        <f>IF(C204&lt;=D204,"OK","exceeds max rank "&amp;D204)</f>
        <v/>
      </c>
      <c r="F204" s="7">
        <f>INDEX('Perk Values'!$G$5:$K$247,MATCH($B204,'Perk Values'!$A$5:$A$247,0),C204+1)</f>
        <v/>
      </c>
      <c r="G204" s="7">
        <f>INDEX('Perk Values'!$L$5:$P$247,MATCH($B204,'Perk Values'!$A$5:$A$247,0),C204+1)</f>
        <v/>
      </c>
      <c r="H204" s="7">
        <f>INDEX('Perk Values'!$D$5:$D$247,MATCH($B204,'Perk Values'!$A$5:$A$247,0))</f>
        <v/>
      </c>
      <c r="I204" s="7" t="inlineStr"/>
    </row>
    <row r="205">
      <c r="A205" s="7" t="inlineStr">
        <is>
          <t>AGI</t>
        </is>
      </c>
      <c r="B205" s="7" t="inlineStr">
        <is>
          <t>Dodgy</t>
        </is>
      </c>
      <c r="C205" s="4">
        <f>VLOOKUP($B$4,Presets!$A$5:$IQ$6,195,FALSE)</f>
        <v/>
      </c>
      <c r="D205" s="7">
        <f>INDEX('Perk Values'!$C$5:$C$247,MATCH($B205,'Perk Values'!$A$5:$A$247,0))</f>
        <v/>
      </c>
      <c r="E205" s="7">
        <f>IF(C205&lt;=D205,"OK","exceeds max rank "&amp;D205)</f>
        <v/>
      </c>
      <c r="F205" s="7">
        <f>INDEX('Perk Values'!$G$5:$K$247,MATCH($B205,'Perk Values'!$A$5:$A$247,0),C205+1)</f>
        <v/>
      </c>
      <c r="G205" s="7">
        <f>INDEX('Perk Values'!$L$5:$P$247,MATCH($B205,'Perk Values'!$A$5:$A$247,0),C205+1)</f>
        <v/>
      </c>
      <c r="H205" s="7">
        <f>INDEX('Perk Values'!$D$5:$D$247,MATCH($B205,'Perk Values'!$A$5:$A$247,0))</f>
        <v/>
      </c>
      <c r="I205" s="7" t="inlineStr"/>
    </row>
    <row r="206">
      <c r="A206" s="7" t="inlineStr">
        <is>
          <t>AGI</t>
        </is>
      </c>
      <c r="B206" s="7" t="inlineStr">
        <is>
          <t>Enforcer</t>
        </is>
      </c>
      <c r="C206" s="4">
        <f>VLOOKUP($B$4,Presets!$A$5:$IQ$6,196,FALSE)</f>
        <v/>
      </c>
      <c r="D206" s="7">
        <f>INDEX('Perk Values'!$C$5:$C$247,MATCH($B206,'Perk Values'!$A$5:$A$247,0))</f>
        <v/>
      </c>
      <c r="E206" s="7">
        <f>IF(C206&lt;=D206,"OK","exceeds max rank "&amp;D206)</f>
        <v/>
      </c>
      <c r="F206" s="7">
        <f>INDEX('Perk Values'!$G$5:$K$247,MATCH($B206,'Perk Values'!$A$5:$A$247,0),C206+1)</f>
        <v/>
      </c>
      <c r="G206" s="7">
        <f>INDEX('Perk Values'!$L$5:$P$247,MATCH($B206,'Perk Values'!$A$5:$A$247,0),C206+1)</f>
        <v/>
      </c>
      <c r="H206" s="7">
        <f>INDEX('Perk Values'!$D$5:$D$247,MATCH($B206,'Perk Values'!$A$5:$A$247,0))</f>
        <v/>
      </c>
      <c r="I206" s="7" t="inlineStr"/>
    </row>
    <row r="207">
      <c r="A207" s="7" t="inlineStr">
        <is>
          <t>AGI</t>
        </is>
      </c>
      <c r="B207" s="7" t="inlineStr">
        <is>
          <t>Escape Artist</t>
        </is>
      </c>
      <c r="C207" s="4">
        <f>VLOOKUP($B$4,Presets!$A$5:$IQ$6,197,FALSE)</f>
        <v/>
      </c>
      <c r="D207" s="7">
        <f>INDEX('Perk Values'!$C$5:$C$247,MATCH($B207,'Perk Values'!$A$5:$A$247,0))</f>
        <v/>
      </c>
      <c r="E207" s="7">
        <f>IF(C207&lt;=D207,"OK","exceeds max rank "&amp;D207)</f>
        <v/>
      </c>
      <c r="F207" s="7">
        <f>INDEX('Perk Values'!$G$5:$K$247,MATCH($B207,'Perk Values'!$A$5:$A$247,0),C207+1)</f>
        <v/>
      </c>
      <c r="G207" s="7">
        <f>INDEX('Perk Values'!$L$5:$P$247,MATCH($B207,'Perk Values'!$A$5:$A$247,0),C207+1)</f>
        <v/>
      </c>
      <c r="H207" s="7">
        <f>INDEX('Perk Values'!$D$5:$D$247,MATCH($B207,'Perk Values'!$A$5:$A$247,0))</f>
        <v/>
      </c>
      <c r="I207" s="7" t="inlineStr"/>
    </row>
    <row r="208">
      <c r="A208" s="7" t="inlineStr">
        <is>
          <t>AGI</t>
        </is>
      </c>
      <c r="B208" s="7" t="inlineStr">
        <is>
          <t>Evasive</t>
        </is>
      </c>
      <c r="C208" s="4">
        <f>VLOOKUP($B$4,Presets!$A$5:$IQ$6,198,FALSE)</f>
        <v/>
      </c>
      <c r="D208" s="7">
        <f>INDEX('Perk Values'!$C$5:$C$247,MATCH($B208,'Perk Values'!$A$5:$A$247,0))</f>
        <v/>
      </c>
      <c r="E208" s="7">
        <f>IF(C208&lt;=D208,"OK","exceeds max rank "&amp;D208)</f>
        <v/>
      </c>
      <c r="F208" s="7">
        <f>INDEX('Perk Values'!$G$5:$K$247,MATCH($B208,'Perk Values'!$A$5:$A$247,0),C208+1)</f>
        <v/>
      </c>
      <c r="G208" s="7">
        <f>INDEX('Perk Values'!$L$5:$P$247,MATCH($B208,'Perk Values'!$A$5:$A$247,0),C208+1)</f>
        <v/>
      </c>
      <c r="H208" s="7">
        <f>INDEX('Perk Values'!$D$5:$D$247,MATCH($B208,'Perk Values'!$A$5:$A$247,0))</f>
        <v/>
      </c>
      <c r="I208" s="7" t="inlineStr"/>
    </row>
    <row r="209">
      <c r="A209" s="7" t="inlineStr">
        <is>
          <t>AGI</t>
        </is>
      </c>
      <c r="B209" s="7" t="inlineStr">
        <is>
          <t>Goat Legs</t>
        </is>
      </c>
      <c r="C209" s="4">
        <f>VLOOKUP($B$4,Presets!$A$5:$IQ$6,199,FALSE)</f>
        <v/>
      </c>
      <c r="D209" s="7">
        <f>INDEX('Perk Values'!$C$5:$C$247,MATCH($B209,'Perk Values'!$A$5:$A$247,0))</f>
        <v/>
      </c>
      <c r="E209" s="7">
        <f>IF(C209&lt;=D209,"OK","exceeds max rank "&amp;D209)</f>
        <v/>
      </c>
      <c r="F209" s="7">
        <f>INDEX('Perk Values'!$G$5:$K$247,MATCH($B209,'Perk Values'!$A$5:$A$247,0),C209+1)</f>
        <v/>
      </c>
      <c r="G209" s="7">
        <f>INDEX('Perk Values'!$L$5:$P$247,MATCH($B209,'Perk Values'!$A$5:$A$247,0),C209+1)</f>
        <v/>
      </c>
      <c r="H209" s="7">
        <f>INDEX('Perk Values'!$D$5:$D$247,MATCH($B209,'Perk Values'!$A$5:$A$247,0))</f>
        <v/>
      </c>
      <c r="I209" s="7" t="inlineStr"/>
    </row>
    <row r="210">
      <c r="A210" s="7" t="inlineStr">
        <is>
          <t>AGI</t>
        </is>
      </c>
      <c r="B210" s="7" t="inlineStr">
        <is>
          <t>Guerrilla</t>
        </is>
      </c>
      <c r="C210" s="4">
        <f>VLOOKUP($B$4,Presets!$A$5:$IQ$6,200,FALSE)</f>
        <v/>
      </c>
      <c r="D210" s="7">
        <f>INDEX('Perk Values'!$C$5:$C$247,MATCH($B210,'Perk Values'!$A$5:$A$247,0))</f>
        <v/>
      </c>
      <c r="E210" s="7">
        <f>IF(C210&lt;=D210,"OK","exceeds max rank "&amp;D210)</f>
        <v/>
      </c>
      <c r="F210" s="7">
        <f>INDEX('Perk Values'!$G$5:$K$247,MATCH($B210,'Perk Values'!$A$5:$A$247,0),C210+1)</f>
        <v/>
      </c>
      <c r="G210" s="7">
        <f>INDEX('Perk Values'!$L$5:$P$247,MATCH($B210,'Perk Values'!$A$5:$A$247,0),C210+1)</f>
        <v/>
      </c>
      <c r="H210" s="7">
        <f>INDEX('Perk Values'!$D$5:$D$247,MATCH($B210,'Perk Values'!$A$5:$A$247,0))</f>
        <v/>
      </c>
      <c r="I210" s="7" t="inlineStr"/>
    </row>
    <row r="211">
      <c r="A211" s="7" t="inlineStr">
        <is>
          <t>AGI</t>
        </is>
      </c>
      <c r="B211" s="7" t="inlineStr">
        <is>
          <t>Guerrilla Expert</t>
        </is>
      </c>
      <c r="C211" s="4">
        <f>VLOOKUP($B$4,Presets!$A$5:$IQ$6,201,FALSE)</f>
        <v/>
      </c>
      <c r="D211" s="7">
        <f>INDEX('Perk Values'!$C$5:$C$247,MATCH($B211,'Perk Values'!$A$5:$A$247,0))</f>
        <v/>
      </c>
      <c r="E211" s="7">
        <f>IF(C211&lt;=D211,"OK","exceeds max rank "&amp;D211)</f>
        <v/>
      </c>
      <c r="F211" s="7">
        <f>INDEX('Perk Values'!$G$5:$K$247,MATCH($B211,'Perk Values'!$A$5:$A$247,0),C211+1)</f>
        <v/>
      </c>
      <c r="G211" s="7">
        <f>INDEX('Perk Values'!$L$5:$P$247,MATCH($B211,'Perk Values'!$A$5:$A$247,0),C211+1)</f>
        <v/>
      </c>
      <c r="H211" s="7">
        <f>INDEX('Perk Values'!$D$5:$D$247,MATCH($B211,'Perk Values'!$A$5:$A$247,0))</f>
        <v/>
      </c>
      <c r="I211" s="7" t="inlineStr"/>
    </row>
    <row r="212">
      <c r="A212" s="7" t="inlineStr">
        <is>
          <t>AGI</t>
        </is>
      </c>
      <c r="B212" s="7" t="inlineStr">
        <is>
          <t>Guerrilla Master</t>
        </is>
      </c>
      <c r="C212" s="4">
        <f>VLOOKUP($B$4,Presets!$A$5:$IQ$6,202,FALSE)</f>
        <v/>
      </c>
      <c r="D212" s="7">
        <f>INDEX('Perk Values'!$C$5:$C$247,MATCH($B212,'Perk Values'!$A$5:$A$247,0))</f>
        <v/>
      </c>
      <c r="E212" s="7">
        <f>IF(C212&lt;=D212,"OK","exceeds max rank "&amp;D212)</f>
        <v/>
      </c>
      <c r="F212" s="7">
        <f>INDEX('Perk Values'!$G$5:$K$247,MATCH($B212,'Perk Values'!$A$5:$A$247,0),C212+1)</f>
        <v/>
      </c>
      <c r="G212" s="7">
        <f>INDEX('Perk Values'!$L$5:$P$247,MATCH($B212,'Perk Values'!$A$5:$A$247,0),C212+1)</f>
        <v/>
      </c>
      <c r="H212" s="7">
        <f>INDEX('Perk Values'!$D$5:$D$247,MATCH($B212,'Perk Values'!$A$5:$A$247,0))</f>
        <v/>
      </c>
      <c r="I212" s="7" t="inlineStr"/>
    </row>
    <row r="213">
      <c r="A213" s="7" t="inlineStr">
        <is>
          <t>AGI</t>
        </is>
      </c>
      <c r="B213" s="7" t="inlineStr">
        <is>
          <t>Gun Fu</t>
        </is>
      </c>
      <c r="C213" s="4">
        <f>VLOOKUP($B$4,Presets!$A$5:$IQ$6,203,FALSE)</f>
        <v/>
      </c>
      <c r="D213" s="7">
        <f>INDEX('Perk Values'!$C$5:$C$247,MATCH($B213,'Perk Values'!$A$5:$A$247,0))</f>
        <v/>
      </c>
      <c r="E213" s="7">
        <f>IF(C213&lt;=D213,"OK","exceeds max rank "&amp;D213)</f>
        <v/>
      </c>
      <c r="F213" s="7">
        <f>INDEX('Perk Values'!$G$5:$K$247,MATCH($B213,'Perk Values'!$A$5:$A$247,0),C213+1)</f>
        <v/>
      </c>
      <c r="G213" s="7">
        <f>INDEX('Perk Values'!$L$5:$P$247,MATCH($B213,'Perk Values'!$A$5:$A$247,0),C213+1)</f>
        <v/>
      </c>
      <c r="H213" s="7">
        <f>INDEX('Perk Values'!$D$5:$D$247,MATCH($B213,'Perk Values'!$A$5:$A$247,0))</f>
        <v/>
      </c>
      <c r="I213" s="7" t="inlineStr"/>
    </row>
    <row r="214">
      <c r="A214" s="7" t="inlineStr">
        <is>
          <t>AGI</t>
        </is>
      </c>
      <c r="B214" s="7" t="inlineStr">
        <is>
          <t>Gun Runner</t>
        </is>
      </c>
      <c r="C214" s="4">
        <f>VLOOKUP($B$4,Presets!$A$5:$IQ$6,204,FALSE)</f>
        <v/>
      </c>
      <c r="D214" s="7">
        <f>INDEX('Perk Values'!$C$5:$C$247,MATCH($B214,'Perk Values'!$A$5:$A$247,0))</f>
        <v/>
      </c>
      <c r="E214" s="7">
        <f>IF(C214&lt;=D214,"OK","exceeds max rank "&amp;D214)</f>
        <v/>
      </c>
      <c r="F214" s="7">
        <f>INDEX('Perk Values'!$G$5:$K$247,MATCH($B214,'Perk Values'!$A$5:$A$247,0),C214+1)</f>
        <v/>
      </c>
      <c r="G214" s="7">
        <f>INDEX('Perk Values'!$L$5:$P$247,MATCH($B214,'Perk Values'!$A$5:$A$247,0),C214+1)</f>
        <v/>
      </c>
      <c r="H214" s="7">
        <f>INDEX('Perk Values'!$D$5:$D$247,MATCH($B214,'Perk Values'!$A$5:$A$247,0))</f>
        <v/>
      </c>
      <c r="I214" s="7" t="inlineStr"/>
    </row>
    <row r="215">
      <c r="A215" s="7" t="inlineStr">
        <is>
          <t>AGI</t>
        </is>
      </c>
      <c r="B215" s="7" t="inlineStr">
        <is>
          <t>Gunslinger</t>
        </is>
      </c>
      <c r="C215" s="4">
        <f>VLOOKUP($B$4,Presets!$A$5:$IQ$6,205,FALSE)</f>
        <v/>
      </c>
      <c r="D215" s="7">
        <f>INDEX('Perk Values'!$C$5:$C$247,MATCH($B215,'Perk Values'!$A$5:$A$247,0))</f>
        <v/>
      </c>
      <c r="E215" s="7">
        <f>IF(C215&lt;=D215,"OK","exceeds max rank "&amp;D215)</f>
        <v/>
      </c>
      <c r="F215" s="7">
        <f>INDEX('Perk Values'!$G$5:$K$247,MATCH($B215,'Perk Values'!$A$5:$A$247,0),C215+1)</f>
        <v/>
      </c>
      <c r="G215" s="7">
        <f>INDEX('Perk Values'!$L$5:$P$247,MATCH($B215,'Perk Values'!$A$5:$A$247,0),C215+1)</f>
        <v/>
      </c>
      <c r="H215" s="7">
        <f>INDEX('Perk Values'!$D$5:$D$247,MATCH($B215,'Perk Values'!$A$5:$A$247,0))</f>
        <v/>
      </c>
      <c r="I215" s="7" t="inlineStr"/>
    </row>
    <row r="216">
      <c r="A216" s="7" t="inlineStr">
        <is>
          <t>AGI</t>
        </is>
      </c>
      <c r="B216" s="7" t="inlineStr">
        <is>
          <t>Gunslinger Expert</t>
        </is>
      </c>
      <c r="C216" s="4">
        <f>VLOOKUP($B$4,Presets!$A$5:$IQ$6,206,FALSE)</f>
        <v/>
      </c>
      <c r="D216" s="7">
        <f>INDEX('Perk Values'!$C$5:$C$247,MATCH($B216,'Perk Values'!$A$5:$A$247,0))</f>
        <v/>
      </c>
      <c r="E216" s="7">
        <f>IF(C216&lt;=D216,"OK","exceeds max rank "&amp;D216)</f>
        <v/>
      </c>
      <c r="F216" s="7">
        <f>INDEX('Perk Values'!$G$5:$K$247,MATCH($B216,'Perk Values'!$A$5:$A$247,0),C216+1)</f>
        <v/>
      </c>
      <c r="G216" s="7">
        <f>INDEX('Perk Values'!$L$5:$P$247,MATCH($B216,'Perk Values'!$A$5:$A$247,0),C216+1)</f>
        <v/>
      </c>
      <c r="H216" s="7">
        <f>INDEX('Perk Values'!$D$5:$D$247,MATCH($B216,'Perk Values'!$A$5:$A$247,0))</f>
        <v/>
      </c>
      <c r="I216" s="7" t="inlineStr"/>
    </row>
    <row r="217">
      <c r="A217" s="7" t="inlineStr">
        <is>
          <t>AGI</t>
        </is>
      </c>
      <c r="B217" s="7" t="inlineStr">
        <is>
          <t>Gunslinger Master</t>
        </is>
      </c>
      <c r="C217" s="4">
        <f>VLOOKUP($B$4,Presets!$A$5:$IQ$6,207,FALSE)</f>
        <v/>
      </c>
      <c r="D217" s="7">
        <f>INDEX('Perk Values'!$C$5:$C$247,MATCH($B217,'Perk Values'!$A$5:$A$247,0))</f>
        <v/>
      </c>
      <c r="E217" s="7">
        <f>IF(C217&lt;=D217,"OK","exceeds max rank "&amp;D217)</f>
        <v/>
      </c>
      <c r="F217" s="7">
        <f>INDEX('Perk Values'!$G$5:$K$247,MATCH($B217,'Perk Values'!$A$5:$A$247,0),C217+1)</f>
        <v/>
      </c>
      <c r="G217" s="7">
        <f>INDEX('Perk Values'!$L$5:$P$247,MATCH($B217,'Perk Values'!$A$5:$A$247,0),C217+1)</f>
        <v/>
      </c>
      <c r="H217" s="7">
        <f>INDEX('Perk Values'!$D$5:$D$247,MATCH($B217,'Perk Values'!$A$5:$A$247,0))</f>
        <v/>
      </c>
      <c r="I217" s="7" t="inlineStr"/>
    </row>
    <row r="218">
      <c r="A218" s="7" t="inlineStr">
        <is>
          <t>AGI</t>
        </is>
      </c>
      <c r="B218" s="7" t="inlineStr">
        <is>
          <t>Home Defense</t>
        </is>
      </c>
      <c r="C218" s="4">
        <f>VLOOKUP($B$4,Presets!$A$5:$IQ$6,208,FALSE)</f>
        <v/>
      </c>
      <c r="D218" s="7">
        <f>INDEX('Perk Values'!$C$5:$C$247,MATCH($B218,'Perk Values'!$A$5:$A$247,0))</f>
        <v/>
      </c>
      <c r="E218" s="7">
        <f>IF(C218&lt;=D218,"OK","exceeds max rank "&amp;D218)</f>
        <v/>
      </c>
      <c r="F218" s="7">
        <f>INDEX('Perk Values'!$G$5:$K$247,MATCH($B218,'Perk Values'!$A$5:$A$247,0),C218+1)</f>
        <v/>
      </c>
      <c r="G218" s="7">
        <f>INDEX('Perk Values'!$L$5:$P$247,MATCH($B218,'Perk Values'!$A$5:$A$247,0),C218+1)</f>
        <v/>
      </c>
      <c r="H218" s="7">
        <f>INDEX('Perk Values'!$D$5:$D$247,MATCH($B218,'Perk Values'!$A$5:$A$247,0))</f>
        <v/>
      </c>
      <c r="I218" s="7" t="inlineStr"/>
    </row>
    <row r="219">
      <c r="A219" s="7" t="inlineStr">
        <is>
          <t>AGI</t>
        </is>
      </c>
      <c r="B219" s="7" t="inlineStr">
        <is>
          <t>Light Footed</t>
        </is>
      </c>
      <c r="C219" s="4">
        <f>VLOOKUP($B$4,Presets!$A$5:$IQ$6,209,FALSE)</f>
        <v/>
      </c>
      <c r="D219" s="7">
        <f>INDEX('Perk Values'!$C$5:$C$247,MATCH($B219,'Perk Values'!$A$5:$A$247,0))</f>
        <v/>
      </c>
      <c r="E219" s="7">
        <f>IF(C219&lt;=D219,"OK","exceeds max rank "&amp;D219)</f>
        <v/>
      </c>
      <c r="F219" s="7">
        <f>INDEX('Perk Values'!$G$5:$K$247,MATCH($B219,'Perk Values'!$A$5:$A$247,0),C219+1)</f>
        <v/>
      </c>
      <c r="G219" s="7">
        <f>INDEX('Perk Values'!$L$5:$P$247,MATCH($B219,'Perk Values'!$A$5:$A$247,0),C219+1)</f>
        <v/>
      </c>
      <c r="H219" s="7">
        <f>INDEX('Perk Values'!$D$5:$D$247,MATCH($B219,'Perk Values'!$A$5:$A$247,0))</f>
        <v/>
      </c>
      <c r="I219" s="7" t="inlineStr"/>
    </row>
    <row r="220">
      <c r="A220" s="7" t="inlineStr">
        <is>
          <t>AGI</t>
        </is>
      </c>
      <c r="B220" s="7" t="inlineStr">
        <is>
          <t>Marathoner</t>
        </is>
      </c>
      <c r="C220" s="4">
        <f>VLOOKUP($B$4,Presets!$A$5:$IQ$6,210,FALSE)</f>
        <v/>
      </c>
      <c r="D220" s="7">
        <f>INDEX('Perk Values'!$C$5:$C$247,MATCH($B220,'Perk Values'!$A$5:$A$247,0))</f>
        <v/>
      </c>
      <c r="E220" s="7">
        <f>IF(C220&lt;=D220,"OK","exceeds max rank "&amp;D220)</f>
        <v/>
      </c>
      <c r="F220" s="7">
        <f>INDEX('Perk Values'!$G$5:$K$247,MATCH($B220,'Perk Values'!$A$5:$A$247,0),C220+1)</f>
        <v/>
      </c>
      <c r="G220" s="7">
        <f>INDEX('Perk Values'!$L$5:$P$247,MATCH($B220,'Perk Values'!$A$5:$A$247,0),C220+1)</f>
        <v/>
      </c>
      <c r="H220" s="7">
        <f>INDEX('Perk Values'!$D$5:$D$247,MATCH($B220,'Perk Values'!$A$5:$A$247,0))</f>
        <v/>
      </c>
      <c r="I220" s="7" t="inlineStr"/>
    </row>
    <row r="221">
      <c r="A221" s="7" t="inlineStr">
        <is>
          <t>AGI</t>
        </is>
      </c>
      <c r="B221" s="7" t="inlineStr">
        <is>
          <t>Mister Sandman</t>
        </is>
      </c>
      <c r="C221" s="4">
        <f>VLOOKUP($B$4,Presets!$A$5:$IQ$6,211,FALSE)</f>
        <v/>
      </c>
      <c r="D221" s="7">
        <f>INDEX('Perk Values'!$C$5:$C$247,MATCH($B221,'Perk Values'!$A$5:$A$247,0))</f>
        <v/>
      </c>
      <c r="E221" s="7">
        <f>IF(C221&lt;=D221,"OK","exceeds max rank "&amp;D221)</f>
        <v/>
      </c>
      <c r="F221" s="7">
        <f>INDEX('Perk Values'!$G$5:$K$247,MATCH($B221,'Perk Values'!$A$5:$A$247,0),C221+1)</f>
        <v/>
      </c>
      <c r="G221" s="7">
        <f>INDEX('Perk Values'!$L$5:$P$247,MATCH($B221,'Perk Values'!$A$5:$A$247,0),C221+1)</f>
        <v/>
      </c>
      <c r="H221" s="7">
        <f>INDEX('Perk Values'!$D$5:$D$247,MATCH($B221,'Perk Values'!$A$5:$A$247,0))</f>
        <v/>
      </c>
      <c r="I221" s="7" t="inlineStr"/>
    </row>
    <row r="222">
      <c r="A222" s="7" t="inlineStr">
        <is>
          <t>AGI</t>
        </is>
      </c>
      <c r="B222" s="7" t="inlineStr">
        <is>
          <t>Modern Renegade</t>
        </is>
      </c>
      <c r="C222" s="4">
        <f>VLOOKUP($B$4,Presets!$A$5:$IQ$6,212,FALSE)</f>
        <v/>
      </c>
      <c r="D222" s="7">
        <f>INDEX('Perk Values'!$C$5:$C$247,MATCH($B222,'Perk Values'!$A$5:$A$247,0))</f>
        <v/>
      </c>
      <c r="E222" s="7">
        <f>IF(C222&lt;=D222,"OK","exceeds max rank "&amp;D222)</f>
        <v/>
      </c>
      <c r="F222" s="7">
        <f>INDEX('Perk Values'!$G$5:$K$247,MATCH($B222,'Perk Values'!$A$5:$A$247,0),C222+1)</f>
        <v/>
      </c>
      <c r="G222" s="7">
        <f>INDEX('Perk Values'!$L$5:$P$247,MATCH($B222,'Perk Values'!$A$5:$A$247,0),C222+1)</f>
        <v/>
      </c>
      <c r="H222" s="7">
        <f>INDEX('Perk Values'!$D$5:$D$247,MATCH($B222,'Perk Values'!$A$5:$A$247,0))</f>
        <v/>
      </c>
      <c r="I222" s="7" t="inlineStr"/>
    </row>
    <row r="223">
      <c r="A223" s="7" t="inlineStr">
        <is>
          <t>AGI</t>
        </is>
      </c>
      <c r="B223" s="7" t="inlineStr">
        <is>
          <t>Moving Target</t>
        </is>
      </c>
      <c r="C223" s="4">
        <f>VLOOKUP($B$4,Presets!$A$5:$IQ$6,213,FALSE)</f>
        <v/>
      </c>
      <c r="D223" s="7">
        <f>INDEX('Perk Values'!$C$5:$C$247,MATCH($B223,'Perk Values'!$A$5:$A$247,0))</f>
        <v/>
      </c>
      <c r="E223" s="7">
        <f>IF(C223&lt;=D223,"OK","exceeds max rank "&amp;D223)</f>
        <v/>
      </c>
      <c r="F223" s="7">
        <f>INDEX('Perk Values'!$G$5:$K$247,MATCH($B223,'Perk Values'!$A$5:$A$247,0),C223+1)</f>
        <v/>
      </c>
      <c r="G223" s="7">
        <f>INDEX('Perk Values'!$L$5:$P$247,MATCH($B223,'Perk Values'!$A$5:$A$247,0),C223+1)</f>
        <v/>
      </c>
      <c r="H223" s="7">
        <f>INDEX('Perk Values'!$D$5:$D$247,MATCH($B223,'Perk Values'!$A$5:$A$247,0))</f>
        <v/>
      </c>
      <c r="I223" s="7" t="inlineStr"/>
    </row>
    <row r="224">
      <c r="A224" s="7" t="inlineStr">
        <is>
          <t>AGI</t>
        </is>
      </c>
      <c r="B224" s="7" t="inlineStr">
        <is>
          <t>Ninja</t>
        </is>
      </c>
      <c r="C224" s="4">
        <f>VLOOKUP($B$4,Presets!$A$5:$IQ$6,214,FALSE)</f>
        <v/>
      </c>
      <c r="D224" s="7">
        <f>INDEX('Perk Values'!$C$5:$C$247,MATCH($B224,'Perk Values'!$A$5:$A$247,0))</f>
        <v/>
      </c>
      <c r="E224" s="7">
        <f>IF(C224&lt;=D224,"OK","exceeds max rank "&amp;D224)</f>
        <v/>
      </c>
      <c r="F224" s="7">
        <f>INDEX('Perk Values'!$G$5:$K$247,MATCH($B224,'Perk Values'!$A$5:$A$247,0),C224+1)</f>
        <v/>
      </c>
      <c r="G224" s="7">
        <f>INDEX('Perk Values'!$L$5:$P$247,MATCH($B224,'Perk Values'!$A$5:$A$247,0),C224+1)</f>
        <v/>
      </c>
      <c r="H224" s="7">
        <f>INDEX('Perk Values'!$D$5:$D$247,MATCH($B224,'Perk Values'!$A$5:$A$247,0))</f>
        <v/>
      </c>
      <c r="I224" s="7" t="inlineStr"/>
    </row>
    <row r="225">
      <c r="A225" s="7" t="inlineStr">
        <is>
          <t>AGI</t>
        </is>
      </c>
      <c r="B225" s="7" t="inlineStr">
        <is>
          <t>Packin' Light</t>
        </is>
      </c>
      <c r="C225" s="4">
        <f>VLOOKUP($B$4,Presets!$A$5:$IQ$6,215,FALSE)</f>
        <v/>
      </c>
      <c r="D225" s="7">
        <f>INDEX('Perk Values'!$C$5:$C$247,MATCH($B225,'Perk Values'!$A$5:$A$247,0))</f>
        <v/>
      </c>
      <c r="E225" s="7">
        <f>IF(C225&lt;=D225,"OK","exceeds max rank "&amp;D225)</f>
        <v/>
      </c>
      <c r="F225" s="7">
        <f>INDEX('Perk Values'!$G$5:$K$247,MATCH($B225,'Perk Values'!$A$5:$A$247,0),C225+1)</f>
        <v/>
      </c>
      <c r="G225" s="7">
        <f>INDEX('Perk Values'!$L$5:$P$247,MATCH($B225,'Perk Values'!$A$5:$A$247,0),C225+1)</f>
        <v/>
      </c>
      <c r="H225" s="7">
        <f>INDEX('Perk Values'!$D$5:$D$247,MATCH($B225,'Perk Values'!$A$5:$A$247,0))</f>
        <v/>
      </c>
      <c r="I225" s="7" t="inlineStr"/>
    </row>
    <row r="226">
      <c r="A226" s="7" t="inlineStr">
        <is>
          <t>AGI</t>
        </is>
      </c>
      <c r="B226" s="7" t="inlineStr">
        <is>
          <t>Secret Agent</t>
        </is>
      </c>
      <c r="C226" s="4">
        <f>VLOOKUP($B$4,Presets!$A$5:$IQ$6,216,FALSE)</f>
        <v/>
      </c>
      <c r="D226" s="7">
        <f>INDEX('Perk Values'!$C$5:$C$247,MATCH($B226,'Perk Values'!$A$5:$A$247,0))</f>
        <v/>
      </c>
      <c r="E226" s="7">
        <f>IF(C226&lt;=D226,"OK","exceeds max rank "&amp;D226)</f>
        <v/>
      </c>
      <c r="F226" s="7">
        <f>INDEX('Perk Values'!$G$5:$K$247,MATCH($B226,'Perk Values'!$A$5:$A$247,0),C226+1)</f>
        <v/>
      </c>
      <c r="G226" s="7">
        <f>INDEX('Perk Values'!$L$5:$P$247,MATCH($B226,'Perk Values'!$A$5:$A$247,0),C226+1)</f>
        <v/>
      </c>
      <c r="H226" s="7">
        <f>INDEX('Perk Values'!$D$5:$D$247,MATCH($B226,'Perk Values'!$A$5:$A$247,0))</f>
        <v/>
      </c>
      <c r="I226" s="7" t="inlineStr"/>
    </row>
    <row r="227">
      <c r="A227" s="7" t="inlineStr">
        <is>
          <t>AGI</t>
        </is>
      </c>
      <c r="B227" s="7" t="inlineStr">
        <is>
          <t>Sneak</t>
        </is>
      </c>
      <c r="C227" s="4">
        <f>VLOOKUP($B$4,Presets!$A$5:$IQ$6,217,FALSE)</f>
        <v/>
      </c>
      <c r="D227" s="7">
        <f>INDEX('Perk Values'!$C$5:$C$247,MATCH($B227,'Perk Values'!$A$5:$A$247,0))</f>
        <v/>
      </c>
      <c r="E227" s="7">
        <f>IF(C227&lt;=D227,"OK","exceeds max rank "&amp;D227)</f>
        <v/>
      </c>
      <c r="F227" s="7">
        <f>INDEX('Perk Values'!$G$5:$K$247,MATCH($B227,'Perk Values'!$A$5:$A$247,0),C227+1)</f>
        <v/>
      </c>
      <c r="G227" s="7">
        <f>INDEX('Perk Values'!$L$5:$P$247,MATCH($B227,'Perk Values'!$A$5:$A$247,0),C227+1)</f>
        <v/>
      </c>
      <c r="H227" s="7">
        <f>INDEX('Perk Values'!$D$5:$D$247,MATCH($B227,'Perk Values'!$A$5:$A$247,0))</f>
        <v/>
      </c>
      <c r="I227" s="7" t="inlineStr"/>
    </row>
    <row r="228">
      <c r="A228" s="7" t="inlineStr">
        <is>
          <t>AGI</t>
        </is>
      </c>
      <c r="B228" s="7" t="inlineStr">
        <is>
          <t>Action Ghoul</t>
        </is>
      </c>
      <c r="C228" s="4">
        <f>VLOOKUP($B$4,Presets!$A$5:$IQ$6,218,FALSE)</f>
        <v/>
      </c>
      <c r="D228" s="7">
        <f>INDEX('Perk Values'!$C$5:$C$247,MATCH($B228,'Perk Values'!$A$5:$A$247,0))</f>
        <v/>
      </c>
      <c r="E228" s="7">
        <f>IF(C228&lt;=D228,"OK","exceeds max rank "&amp;D228)</f>
        <v/>
      </c>
      <c r="F228" s="7">
        <f>INDEX('Perk Values'!$G$5:$K$247,MATCH($B228,'Perk Values'!$A$5:$A$247,0),C228+1)</f>
        <v/>
      </c>
      <c r="G228" s="7">
        <f>INDEX('Perk Values'!$L$5:$P$247,MATCH($B228,'Perk Values'!$A$5:$A$247,0),C228+1)</f>
        <v/>
      </c>
      <c r="H228" s="7">
        <f>INDEX('Perk Values'!$D$5:$D$247,MATCH($B228,'Perk Values'!$A$5:$A$247,0))</f>
        <v/>
      </c>
      <c r="I228" s="7" t="inlineStr"/>
    </row>
    <row r="229">
      <c r="A229" s="7" t="inlineStr">
        <is>
          <t>AGI</t>
        </is>
      </c>
      <c r="B229" s="7" t="inlineStr">
        <is>
          <t>Gun Tricks</t>
        </is>
      </c>
      <c r="C229" s="4">
        <f>VLOOKUP($B$4,Presets!$A$5:$IQ$6,219,FALSE)</f>
        <v/>
      </c>
      <c r="D229" s="7">
        <f>INDEX('Perk Values'!$C$5:$C$247,MATCH($B229,'Perk Values'!$A$5:$A$247,0))</f>
        <v/>
      </c>
      <c r="E229" s="7">
        <f>IF(C229&lt;=D229,"OK","exceeds max rank "&amp;D229)</f>
        <v/>
      </c>
      <c r="F229" s="7">
        <f>INDEX('Perk Values'!$G$5:$K$247,MATCH($B229,'Perk Values'!$A$5:$A$247,0),C229+1)</f>
        <v/>
      </c>
      <c r="G229" s="7">
        <f>INDEX('Perk Values'!$L$5:$P$247,MATCH($B229,'Perk Values'!$A$5:$A$247,0),C229+1)</f>
        <v/>
      </c>
      <c r="H229" s="7">
        <f>INDEX('Perk Values'!$D$5:$D$247,MATCH($B229,'Perk Values'!$A$5:$A$247,0))</f>
        <v/>
      </c>
      <c r="I229" s="7" t="inlineStr"/>
    </row>
    <row r="230">
      <c r="A230" s="7" t="inlineStr">
        <is>
          <t>AGI</t>
        </is>
      </c>
      <c r="B230" s="7" t="inlineStr">
        <is>
          <t>Hyper Reflexes</t>
        </is>
      </c>
      <c r="C230" s="4">
        <f>VLOOKUP($B$4,Presets!$A$5:$IQ$6,220,FALSE)</f>
        <v/>
      </c>
      <c r="D230" s="7">
        <f>INDEX('Perk Values'!$C$5:$C$247,MATCH($B230,'Perk Values'!$A$5:$A$247,0))</f>
        <v/>
      </c>
      <c r="E230" s="7">
        <f>IF(C230&lt;=D230,"OK","exceeds max rank "&amp;D230)</f>
        <v/>
      </c>
      <c r="F230" s="7">
        <f>INDEX('Perk Values'!$G$5:$K$247,MATCH($B230,'Perk Values'!$A$5:$A$247,0),C230+1)</f>
        <v/>
      </c>
      <c r="G230" s="7">
        <f>INDEX('Perk Values'!$L$5:$P$247,MATCH($B230,'Perk Values'!$A$5:$A$247,0),C230+1)</f>
        <v/>
      </c>
      <c r="H230" s="7">
        <f>INDEX('Perk Values'!$D$5:$D$247,MATCH($B230,'Perk Values'!$A$5:$A$247,0))</f>
        <v/>
      </c>
      <c r="I230" s="7" t="inlineStr"/>
    </row>
    <row r="231">
      <c r="A231" s="7" t="inlineStr">
        <is>
          <t>AGI</t>
        </is>
      </c>
      <c r="B231" s="7" t="inlineStr">
        <is>
          <t>Jaguar Speed</t>
        </is>
      </c>
      <c r="C231" s="4">
        <f>VLOOKUP($B$4,Presets!$A$5:$IQ$6,221,FALSE)</f>
        <v/>
      </c>
      <c r="D231" s="7">
        <f>INDEX('Perk Values'!$C$5:$C$247,MATCH($B231,'Perk Values'!$A$5:$A$247,0))</f>
        <v/>
      </c>
      <c r="E231" s="7">
        <f>IF(C231&lt;=D231,"OK","exceeds max rank "&amp;D231)</f>
        <v/>
      </c>
      <c r="F231" s="7">
        <f>INDEX('Perk Values'!$G$5:$K$247,MATCH($B231,'Perk Values'!$A$5:$A$247,0),C231+1)</f>
        <v/>
      </c>
      <c r="G231" s="7">
        <f>INDEX('Perk Values'!$L$5:$P$247,MATCH($B231,'Perk Values'!$A$5:$A$247,0),C231+1)</f>
        <v/>
      </c>
      <c r="H231" s="7">
        <f>INDEX('Perk Values'!$D$5:$D$247,MATCH($B231,'Perk Values'!$A$5:$A$247,0))</f>
        <v/>
      </c>
      <c r="I231" s="7" t="inlineStr"/>
    </row>
    <row r="232">
      <c r="A232" s="7" t="inlineStr">
        <is>
          <t>LCK</t>
        </is>
      </c>
      <c r="B232" s="7" t="inlineStr">
        <is>
          <t>Better Criticals</t>
        </is>
      </c>
      <c r="C232" s="4">
        <f>VLOOKUP($B$4,Presets!$A$5:$IQ$6,222,FALSE)</f>
        <v/>
      </c>
      <c r="D232" s="7">
        <f>INDEX('Perk Values'!$C$5:$C$247,MATCH($B232,'Perk Values'!$A$5:$A$247,0))</f>
        <v/>
      </c>
      <c r="E232" s="7">
        <f>IF(C232&lt;=D232,"OK","exceeds max rank "&amp;D232)</f>
        <v/>
      </c>
      <c r="F232" s="7">
        <f>INDEX('Perk Values'!$G$5:$K$247,MATCH($B232,'Perk Values'!$A$5:$A$247,0),C232+1)</f>
        <v/>
      </c>
      <c r="G232" s="7">
        <f>INDEX('Perk Values'!$L$5:$P$247,MATCH($B232,'Perk Values'!$A$5:$A$247,0),C232+1)</f>
        <v/>
      </c>
      <c r="H232" s="7">
        <f>INDEX('Perk Values'!$D$5:$D$247,MATCH($B232,'Perk Values'!$A$5:$A$247,0))</f>
        <v/>
      </c>
      <c r="I232" s="7" t="inlineStr"/>
    </row>
    <row r="233">
      <c r="A233" s="7" t="inlineStr">
        <is>
          <t>LCK</t>
        </is>
      </c>
      <c r="B233" s="7" t="inlineStr">
        <is>
          <t>Bloody Mess</t>
        </is>
      </c>
      <c r="C233" s="4">
        <f>VLOOKUP($B$4,Presets!$A$5:$IQ$6,223,FALSE)</f>
        <v/>
      </c>
      <c r="D233" s="7">
        <f>INDEX('Perk Values'!$C$5:$C$247,MATCH($B233,'Perk Values'!$A$5:$A$247,0))</f>
        <v/>
      </c>
      <c r="E233" s="7">
        <f>IF(C233&lt;=D233,"OK","exceeds max rank "&amp;D233)</f>
        <v/>
      </c>
      <c r="F233" s="7">
        <f>INDEX('Perk Values'!$G$5:$K$247,MATCH($B233,'Perk Values'!$A$5:$A$247,0),C233+1)</f>
        <v/>
      </c>
      <c r="G233" s="7">
        <f>INDEX('Perk Values'!$L$5:$P$247,MATCH($B233,'Perk Values'!$A$5:$A$247,0),C233+1)</f>
        <v/>
      </c>
      <c r="H233" s="7">
        <f>INDEX('Perk Values'!$D$5:$D$247,MATCH($B233,'Perk Values'!$A$5:$A$247,0))</f>
        <v/>
      </c>
      <c r="I233" s="7" t="inlineStr"/>
    </row>
    <row r="234">
      <c r="A234" s="7" t="inlineStr">
        <is>
          <t>LCK</t>
        </is>
      </c>
      <c r="B234" s="7" t="inlineStr">
        <is>
          <t>Can Do!</t>
        </is>
      </c>
      <c r="C234" s="4">
        <f>VLOOKUP($B$4,Presets!$A$5:$IQ$6,224,FALSE)</f>
        <v/>
      </c>
      <c r="D234" s="7">
        <f>INDEX('Perk Values'!$C$5:$C$247,MATCH($B234,'Perk Values'!$A$5:$A$247,0))</f>
        <v/>
      </c>
      <c r="E234" s="7">
        <f>IF(C234&lt;=D234,"OK","exceeds max rank "&amp;D234)</f>
        <v/>
      </c>
      <c r="F234" s="7">
        <f>INDEX('Perk Values'!$G$5:$K$247,MATCH($B234,'Perk Values'!$A$5:$A$247,0),C234+1)</f>
        <v/>
      </c>
      <c r="G234" s="7">
        <f>INDEX('Perk Values'!$L$5:$P$247,MATCH($B234,'Perk Values'!$A$5:$A$247,0),C234+1)</f>
        <v/>
      </c>
      <c r="H234" s="7">
        <f>INDEX('Perk Values'!$D$5:$D$247,MATCH($B234,'Perk Values'!$A$5:$A$247,0))</f>
        <v/>
      </c>
      <c r="I234" s="7" t="inlineStr"/>
    </row>
    <row r="235">
      <c r="A235" s="7" t="inlineStr">
        <is>
          <t>LCK</t>
        </is>
      </c>
      <c r="B235" s="7" t="inlineStr">
        <is>
          <t>Cap Collector</t>
        </is>
      </c>
      <c r="C235" s="4">
        <f>VLOOKUP($B$4,Presets!$A$5:$IQ$6,225,FALSE)</f>
        <v/>
      </c>
      <c r="D235" s="7">
        <f>INDEX('Perk Values'!$C$5:$C$247,MATCH($B235,'Perk Values'!$A$5:$A$247,0))</f>
        <v/>
      </c>
      <c r="E235" s="7">
        <f>IF(C235&lt;=D235,"OK","exceeds max rank "&amp;D235)</f>
        <v/>
      </c>
      <c r="F235" s="7">
        <f>INDEX('Perk Values'!$G$5:$K$247,MATCH($B235,'Perk Values'!$A$5:$A$247,0),C235+1)</f>
        <v/>
      </c>
      <c r="G235" s="7">
        <f>INDEX('Perk Values'!$L$5:$P$247,MATCH($B235,'Perk Values'!$A$5:$A$247,0),C235+1)</f>
        <v/>
      </c>
      <c r="H235" s="7">
        <f>INDEX('Perk Values'!$D$5:$D$247,MATCH($B235,'Perk Values'!$A$5:$A$247,0))</f>
        <v/>
      </c>
      <c r="I235" s="7" t="inlineStr"/>
    </row>
    <row r="236">
      <c r="A236" s="7" t="inlineStr">
        <is>
          <t>LCK</t>
        </is>
      </c>
      <c r="B236" s="7" t="inlineStr">
        <is>
          <t>Class Freak</t>
        </is>
      </c>
      <c r="C236" s="4">
        <f>VLOOKUP($B$4,Presets!$A$5:$IQ$6,226,FALSE)</f>
        <v/>
      </c>
      <c r="D236" s="7">
        <f>INDEX('Perk Values'!$C$5:$C$247,MATCH($B236,'Perk Values'!$A$5:$A$247,0))</f>
        <v/>
      </c>
      <c r="E236" s="7">
        <f>IF(C236&lt;=D236,"OK","exceeds max rank "&amp;D236)</f>
        <v/>
      </c>
      <c r="F236" s="7">
        <f>INDEX('Perk Values'!$G$5:$K$247,MATCH($B236,'Perk Values'!$A$5:$A$247,0),C236+1)</f>
        <v/>
      </c>
      <c r="G236" s="7">
        <f>INDEX('Perk Values'!$L$5:$P$247,MATCH($B236,'Perk Values'!$A$5:$A$247,0),C236+1)</f>
        <v/>
      </c>
      <c r="H236" s="7">
        <f>INDEX('Perk Values'!$D$5:$D$247,MATCH($B236,'Perk Values'!$A$5:$A$247,0))</f>
        <v/>
      </c>
      <c r="I236" s="7" t="inlineStr"/>
    </row>
    <row r="237">
      <c r="A237" s="7" t="inlineStr">
        <is>
          <t>LCK</t>
        </is>
      </c>
      <c r="B237" s="7" t="inlineStr">
        <is>
          <t>Critical Savvy</t>
        </is>
      </c>
      <c r="C237" s="4">
        <f>VLOOKUP($B$4,Presets!$A$5:$IQ$6,227,FALSE)</f>
        <v/>
      </c>
      <c r="D237" s="7">
        <f>INDEX('Perk Values'!$C$5:$C$247,MATCH($B237,'Perk Values'!$A$5:$A$247,0))</f>
        <v/>
      </c>
      <c r="E237" s="7">
        <f>IF(C237&lt;=D237,"OK","exceeds max rank "&amp;D237)</f>
        <v/>
      </c>
      <c r="F237" s="7">
        <f>INDEX('Perk Values'!$G$5:$K$247,MATCH($B237,'Perk Values'!$A$5:$A$247,0),C237+1)</f>
        <v/>
      </c>
      <c r="G237" s="7">
        <f>INDEX('Perk Values'!$L$5:$P$247,MATCH($B237,'Perk Values'!$A$5:$A$247,0),C237+1)</f>
        <v/>
      </c>
      <c r="H237" s="7">
        <f>INDEX('Perk Values'!$D$5:$D$247,MATCH($B237,'Perk Values'!$A$5:$A$247,0))</f>
        <v/>
      </c>
      <c r="I237" s="7" t="inlineStr"/>
    </row>
    <row r="238">
      <c r="A238" s="7" t="inlineStr">
        <is>
          <t>LCK</t>
        </is>
      </c>
      <c r="B238" s="7" t="inlineStr">
        <is>
          <t>Dry Nurse</t>
        </is>
      </c>
      <c r="C238" s="4">
        <f>VLOOKUP($B$4,Presets!$A$5:$IQ$6,228,FALSE)</f>
        <v/>
      </c>
      <c r="D238" s="7">
        <f>INDEX('Perk Values'!$C$5:$C$247,MATCH($B238,'Perk Values'!$A$5:$A$247,0))</f>
        <v/>
      </c>
      <c r="E238" s="7">
        <f>IF(C238&lt;=D238,"OK","exceeds max rank "&amp;D238)</f>
        <v/>
      </c>
      <c r="F238" s="7">
        <f>INDEX('Perk Values'!$G$5:$K$247,MATCH($B238,'Perk Values'!$A$5:$A$247,0),C238+1)</f>
        <v/>
      </c>
      <c r="G238" s="7">
        <f>INDEX('Perk Values'!$L$5:$P$247,MATCH($B238,'Perk Values'!$A$5:$A$247,0),C238+1)</f>
        <v/>
      </c>
      <c r="H238" s="7">
        <f>INDEX('Perk Values'!$D$5:$D$247,MATCH($B238,'Perk Values'!$A$5:$A$247,0))</f>
        <v/>
      </c>
      <c r="I238" s="7" t="inlineStr"/>
    </row>
    <row r="239">
      <c r="A239" s="7" t="inlineStr">
        <is>
          <t>LCK</t>
        </is>
      </c>
      <c r="B239" s="7" t="inlineStr">
        <is>
          <t>Four Leaf Clover</t>
        </is>
      </c>
      <c r="C239" s="4">
        <f>VLOOKUP($B$4,Presets!$A$5:$IQ$6,229,FALSE)</f>
        <v/>
      </c>
      <c r="D239" s="7">
        <f>INDEX('Perk Values'!$C$5:$C$247,MATCH($B239,'Perk Values'!$A$5:$A$247,0))</f>
        <v/>
      </c>
      <c r="E239" s="7">
        <f>IF(C239&lt;=D239,"OK","exceeds max rank "&amp;D239)</f>
        <v/>
      </c>
      <c r="F239" s="7">
        <f>INDEX('Perk Values'!$G$5:$K$247,MATCH($B239,'Perk Values'!$A$5:$A$247,0),C239+1)</f>
        <v/>
      </c>
      <c r="G239" s="7">
        <f>INDEX('Perk Values'!$L$5:$P$247,MATCH($B239,'Perk Values'!$A$5:$A$247,0),C239+1)</f>
        <v/>
      </c>
      <c r="H239" s="7">
        <f>INDEX('Perk Values'!$D$5:$D$247,MATCH($B239,'Perk Values'!$A$5:$A$247,0))</f>
        <v/>
      </c>
      <c r="I239" s="7" t="inlineStr"/>
    </row>
    <row r="240">
      <c r="A240" s="7" t="inlineStr">
        <is>
          <t>LCK</t>
        </is>
      </c>
      <c r="B240" s="7" t="inlineStr">
        <is>
          <t>Grim Reaper's Sprint</t>
        </is>
      </c>
      <c r="C240" s="4">
        <f>VLOOKUP($B$4,Presets!$A$5:$IQ$6,230,FALSE)</f>
        <v/>
      </c>
      <c r="D240" s="7">
        <f>INDEX('Perk Values'!$C$5:$C$247,MATCH($B240,'Perk Values'!$A$5:$A$247,0))</f>
        <v/>
      </c>
      <c r="E240" s="7">
        <f>IF(C240&lt;=D240,"OK","exceeds max rank "&amp;D240)</f>
        <v/>
      </c>
      <c r="F240" s="7">
        <f>INDEX('Perk Values'!$G$5:$K$247,MATCH($B240,'Perk Values'!$A$5:$A$247,0),C240+1)</f>
        <v/>
      </c>
      <c r="G240" s="7">
        <f>INDEX('Perk Values'!$L$5:$P$247,MATCH($B240,'Perk Values'!$A$5:$A$247,0),C240+1)</f>
        <v/>
      </c>
      <c r="H240" s="7">
        <f>INDEX('Perk Values'!$D$5:$D$247,MATCH($B240,'Perk Values'!$A$5:$A$247,0))</f>
        <v/>
      </c>
      <c r="I240" s="7" t="inlineStr"/>
    </row>
    <row r="241">
      <c r="A241" s="7" t="inlineStr">
        <is>
          <t>LCK</t>
        </is>
      </c>
      <c r="B241" s="7" t="inlineStr">
        <is>
          <t>Junk Shield</t>
        </is>
      </c>
      <c r="C241" s="4">
        <f>VLOOKUP($B$4,Presets!$A$5:$IQ$6,231,FALSE)</f>
        <v/>
      </c>
      <c r="D241" s="7">
        <f>INDEX('Perk Values'!$C$5:$C$247,MATCH($B241,'Perk Values'!$A$5:$A$247,0))</f>
        <v/>
      </c>
      <c r="E241" s="7">
        <f>IF(C241&lt;=D241,"OK","exceeds max rank "&amp;D241)</f>
        <v/>
      </c>
      <c r="F241" s="7">
        <f>INDEX('Perk Values'!$G$5:$K$247,MATCH($B241,'Perk Values'!$A$5:$A$247,0),C241+1)</f>
        <v/>
      </c>
      <c r="G241" s="7">
        <f>INDEX('Perk Values'!$L$5:$P$247,MATCH($B241,'Perk Values'!$A$5:$A$247,0),C241+1)</f>
        <v/>
      </c>
      <c r="H241" s="7">
        <f>INDEX('Perk Values'!$D$5:$D$247,MATCH($B241,'Perk Values'!$A$5:$A$247,0))</f>
        <v/>
      </c>
      <c r="I241" s="7" t="inlineStr"/>
    </row>
    <row r="242">
      <c r="A242" s="7" t="inlineStr">
        <is>
          <t>LCK</t>
        </is>
      </c>
      <c r="B242" s="7" t="inlineStr">
        <is>
          <t>Last Laugh</t>
        </is>
      </c>
      <c r="C242" s="4">
        <f>VLOOKUP($B$4,Presets!$A$5:$IQ$6,232,FALSE)</f>
        <v/>
      </c>
      <c r="D242" s="7">
        <f>INDEX('Perk Values'!$C$5:$C$247,MATCH($B242,'Perk Values'!$A$5:$A$247,0))</f>
        <v/>
      </c>
      <c r="E242" s="7">
        <f>IF(C242&lt;=D242,"OK","exceeds max rank "&amp;D242)</f>
        <v/>
      </c>
      <c r="F242" s="7">
        <f>INDEX('Perk Values'!$G$5:$K$247,MATCH($B242,'Perk Values'!$A$5:$A$247,0),C242+1)</f>
        <v/>
      </c>
      <c r="G242" s="7">
        <f>INDEX('Perk Values'!$L$5:$P$247,MATCH($B242,'Perk Values'!$A$5:$A$247,0),C242+1)</f>
        <v/>
      </c>
      <c r="H242" s="7">
        <f>INDEX('Perk Values'!$D$5:$D$247,MATCH($B242,'Perk Values'!$A$5:$A$247,0))</f>
        <v/>
      </c>
      <c r="I242" s="7" t="inlineStr"/>
    </row>
    <row r="243">
      <c r="A243" s="7" t="inlineStr">
        <is>
          <t>LCK</t>
        </is>
      </c>
      <c r="B243" s="7" t="inlineStr">
        <is>
          <t>Luck of the Draw</t>
        </is>
      </c>
      <c r="C243" s="4">
        <f>VLOOKUP($B$4,Presets!$A$5:$IQ$6,233,FALSE)</f>
        <v/>
      </c>
      <c r="D243" s="7">
        <f>INDEX('Perk Values'!$C$5:$C$247,MATCH($B243,'Perk Values'!$A$5:$A$247,0))</f>
        <v/>
      </c>
      <c r="E243" s="7">
        <f>IF(C243&lt;=D243,"OK","exceeds max rank "&amp;D243)</f>
        <v/>
      </c>
      <c r="F243" s="7">
        <f>INDEX('Perk Values'!$G$5:$K$247,MATCH($B243,'Perk Values'!$A$5:$A$247,0),C243+1)</f>
        <v/>
      </c>
      <c r="G243" s="7">
        <f>INDEX('Perk Values'!$L$5:$P$247,MATCH($B243,'Perk Values'!$A$5:$A$247,0),C243+1)</f>
        <v/>
      </c>
      <c r="H243" s="7">
        <f>INDEX('Perk Values'!$D$5:$D$247,MATCH($B243,'Perk Values'!$A$5:$A$247,0))</f>
        <v/>
      </c>
      <c r="I243" s="7" t="inlineStr"/>
    </row>
    <row r="244">
      <c r="A244" s="7" t="inlineStr">
        <is>
          <t>LCK</t>
        </is>
      </c>
      <c r="B244" s="7" t="inlineStr">
        <is>
          <t>Lucky Break</t>
        </is>
      </c>
      <c r="C244" s="4">
        <f>VLOOKUP($B$4,Presets!$A$5:$IQ$6,234,FALSE)</f>
        <v/>
      </c>
      <c r="D244" s="7">
        <f>INDEX('Perk Values'!$C$5:$C$247,MATCH($B244,'Perk Values'!$A$5:$A$247,0))</f>
        <v/>
      </c>
      <c r="E244" s="7">
        <f>IF(C244&lt;=D244,"OK","exceeds max rank "&amp;D244)</f>
        <v/>
      </c>
      <c r="F244" s="7">
        <f>INDEX('Perk Values'!$G$5:$K$247,MATCH($B244,'Perk Values'!$A$5:$A$247,0),C244+1)</f>
        <v/>
      </c>
      <c r="G244" s="7">
        <f>INDEX('Perk Values'!$L$5:$P$247,MATCH($B244,'Perk Values'!$A$5:$A$247,0),C244+1)</f>
        <v/>
      </c>
      <c r="H244" s="7">
        <f>INDEX('Perk Values'!$D$5:$D$247,MATCH($B244,'Perk Values'!$A$5:$A$247,0))</f>
        <v/>
      </c>
      <c r="I244" s="7" t="inlineStr"/>
    </row>
    <row r="245">
      <c r="A245" s="7" t="inlineStr">
        <is>
          <t>LCK</t>
        </is>
      </c>
      <c r="B245" s="7" t="inlineStr">
        <is>
          <t>Mysterious Savior</t>
        </is>
      </c>
      <c r="C245" s="4">
        <f>VLOOKUP($B$4,Presets!$A$5:$IQ$6,235,FALSE)</f>
        <v/>
      </c>
      <c r="D245" s="7">
        <f>INDEX('Perk Values'!$C$5:$C$247,MATCH($B245,'Perk Values'!$A$5:$A$247,0))</f>
        <v/>
      </c>
      <c r="E245" s="7">
        <f>IF(C245&lt;=D245,"OK","exceeds max rank "&amp;D245)</f>
        <v/>
      </c>
      <c r="F245" s="7">
        <f>INDEX('Perk Values'!$G$5:$K$247,MATCH($B245,'Perk Values'!$A$5:$A$247,0),C245+1)</f>
        <v/>
      </c>
      <c r="G245" s="7">
        <f>INDEX('Perk Values'!$L$5:$P$247,MATCH($B245,'Perk Values'!$A$5:$A$247,0),C245+1)</f>
        <v/>
      </c>
      <c r="H245" s="7">
        <f>INDEX('Perk Values'!$D$5:$D$247,MATCH($B245,'Perk Values'!$A$5:$A$247,0))</f>
        <v/>
      </c>
      <c r="I245" s="7" t="inlineStr"/>
    </row>
    <row r="246">
      <c r="A246" s="7" t="inlineStr">
        <is>
          <t>LCK</t>
        </is>
      </c>
      <c r="B246" s="7" t="inlineStr">
        <is>
          <t>Mysterious Stranger</t>
        </is>
      </c>
      <c r="C246" s="4">
        <f>VLOOKUP($B$4,Presets!$A$5:$IQ$6,236,FALSE)</f>
        <v/>
      </c>
      <c r="D246" s="7">
        <f>INDEX('Perk Values'!$C$5:$C$247,MATCH($B246,'Perk Values'!$A$5:$A$247,0))</f>
        <v/>
      </c>
      <c r="E246" s="7">
        <f>IF(C246&lt;=D246,"OK","exceeds max rank "&amp;D246)</f>
        <v/>
      </c>
      <c r="F246" s="7">
        <f>INDEX('Perk Values'!$G$5:$K$247,MATCH($B246,'Perk Values'!$A$5:$A$247,0),C246+1)</f>
        <v/>
      </c>
      <c r="G246" s="7">
        <f>INDEX('Perk Values'!$L$5:$P$247,MATCH($B246,'Perk Values'!$A$5:$A$247,0),C246+1)</f>
        <v/>
      </c>
      <c r="H246" s="7">
        <f>INDEX('Perk Values'!$D$5:$D$247,MATCH($B246,'Perk Values'!$A$5:$A$247,0))</f>
        <v/>
      </c>
      <c r="I246" s="7" t="inlineStr"/>
    </row>
    <row r="247">
      <c r="A247" s="7" t="inlineStr">
        <is>
          <t>LCK</t>
        </is>
      </c>
      <c r="B247" s="7" t="inlineStr">
        <is>
          <t>Mystery Meat</t>
        </is>
      </c>
      <c r="C247" s="4">
        <f>VLOOKUP($B$4,Presets!$A$5:$IQ$6,237,FALSE)</f>
        <v/>
      </c>
      <c r="D247" s="7">
        <f>INDEX('Perk Values'!$C$5:$C$247,MATCH($B247,'Perk Values'!$A$5:$A$247,0))</f>
        <v/>
      </c>
      <c r="E247" s="7">
        <f>IF(C247&lt;=D247,"OK","exceeds max rank "&amp;D247)</f>
        <v/>
      </c>
      <c r="F247" s="7">
        <f>INDEX('Perk Values'!$G$5:$K$247,MATCH($B247,'Perk Values'!$A$5:$A$247,0),C247+1)</f>
        <v/>
      </c>
      <c r="G247" s="7">
        <f>INDEX('Perk Values'!$L$5:$P$247,MATCH($B247,'Perk Values'!$A$5:$A$247,0),C247+1)</f>
        <v/>
      </c>
      <c r="H247" s="7">
        <f>INDEX('Perk Values'!$D$5:$D$247,MATCH($B247,'Perk Values'!$A$5:$A$247,0))</f>
        <v/>
      </c>
      <c r="I247" s="7" t="inlineStr"/>
    </row>
    <row r="248">
      <c r="A248" s="7" t="inlineStr">
        <is>
          <t>LCK</t>
        </is>
      </c>
      <c r="B248" s="7" t="inlineStr">
        <is>
          <t>One Gun Army</t>
        </is>
      </c>
      <c r="C248" s="4">
        <f>VLOOKUP($B$4,Presets!$A$5:$IQ$6,238,FALSE)</f>
        <v/>
      </c>
      <c r="D248" s="7">
        <f>INDEX('Perk Values'!$C$5:$C$247,MATCH($B248,'Perk Values'!$A$5:$A$247,0))</f>
        <v/>
      </c>
      <c r="E248" s="7">
        <f>IF(C248&lt;=D248,"OK","exceeds max rank "&amp;D248)</f>
        <v/>
      </c>
      <c r="F248" s="7">
        <f>INDEX('Perk Values'!$G$5:$K$247,MATCH($B248,'Perk Values'!$A$5:$A$247,0),C248+1)</f>
        <v/>
      </c>
      <c r="G248" s="7">
        <f>INDEX('Perk Values'!$L$5:$P$247,MATCH($B248,'Perk Values'!$A$5:$A$247,0),C248+1)</f>
        <v/>
      </c>
      <c r="H248" s="7">
        <f>INDEX('Perk Values'!$D$5:$D$247,MATCH($B248,'Perk Values'!$A$5:$A$247,0))</f>
        <v/>
      </c>
      <c r="I248" s="7" t="inlineStr"/>
    </row>
    <row r="249">
      <c r="A249" s="7" t="inlineStr">
        <is>
          <t>LCK</t>
        </is>
      </c>
      <c r="B249" s="7" t="inlineStr">
        <is>
          <t>Pharma Farma</t>
        </is>
      </c>
      <c r="C249" s="4">
        <f>VLOOKUP($B$4,Presets!$A$5:$IQ$6,239,FALSE)</f>
        <v/>
      </c>
      <c r="D249" s="7">
        <f>INDEX('Perk Values'!$C$5:$C$247,MATCH($B249,'Perk Values'!$A$5:$A$247,0))</f>
        <v/>
      </c>
      <c r="E249" s="7">
        <f>IF(C249&lt;=D249,"OK","exceeds max rank "&amp;D249)</f>
        <v/>
      </c>
      <c r="F249" s="7">
        <f>INDEX('Perk Values'!$G$5:$K$247,MATCH($B249,'Perk Values'!$A$5:$A$247,0),C249+1)</f>
        <v/>
      </c>
      <c r="G249" s="7">
        <f>INDEX('Perk Values'!$L$5:$P$247,MATCH($B249,'Perk Values'!$A$5:$A$247,0),C249+1)</f>
        <v/>
      </c>
      <c r="H249" s="7">
        <f>INDEX('Perk Values'!$D$5:$D$247,MATCH($B249,'Perk Values'!$A$5:$A$247,0))</f>
        <v/>
      </c>
      <c r="I249" s="7" t="inlineStr"/>
    </row>
    <row r="250">
      <c r="A250" s="7" t="inlineStr">
        <is>
          <t>LCK</t>
        </is>
      </c>
      <c r="B250" s="7" t="inlineStr">
        <is>
          <t>Psychopath</t>
        </is>
      </c>
      <c r="C250" s="4">
        <f>VLOOKUP($B$4,Presets!$A$5:$IQ$6,240,FALSE)</f>
        <v/>
      </c>
      <c r="D250" s="7">
        <f>INDEX('Perk Values'!$C$5:$C$247,MATCH($B250,'Perk Values'!$A$5:$A$247,0))</f>
        <v/>
      </c>
      <c r="E250" s="7">
        <f>IF(C250&lt;=D250,"OK","exceeds max rank "&amp;D250)</f>
        <v/>
      </c>
      <c r="F250" s="7">
        <f>INDEX('Perk Values'!$G$5:$K$247,MATCH($B250,'Perk Values'!$A$5:$A$247,0),C250+1)</f>
        <v/>
      </c>
      <c r="G250" s="7">
        <f>INDEX('Perk Values'!$L$5:$P$247,MATCH($B250,'Perk Values'!$A$5:$A$247,0),C250+1)</f>
        <v/>
      </c>
      <c r="H250" s="7">
        <f>INDEX('Perk Values'!$D$5:$D$247,MATCH($B250,'Perk Values'!$A$5:$A$247,0))</f>
        <v/>
      </c>
      <c r="I250" s="7" t="inlineStr"/>
    </row>
    <row r="251">
      <c r="A251" s="7" t="inlineStr">
        <is>
          <t>LCK</t>
        </is>
      </c>
      <c r="B251" s="7" t="inlineStr">
        <is>
          <t>Quick Hands</t>
        </is>
      </c>
      <c r="C251" s="4">
        <f>VLOOKUP($B$4,Presets!$A$5:$IQ$6,241,FALSE)</f>
        <v/>
      </c>
      <c r="D251" s="7">
        <f>INDEX('Perk Values'!$C$5:$C$247,MATCH($B251,'Perk Values'!$A$5:$A$247,0))</f>
        <v/>
      </c>
      <c r="E251" s="7">
        <f>IF(C251&lt;=D251,"OK","exceeds max rank "&amp;D251)</f>
        <v/>
      </c>
      <c r="F251" s="7">
        <f>INDEX('Perk Values'!$G$5:$K$247,MATCH($B251,'Perk Values'!$A$5:$A$247,0),C251+1)</f>
        <v/>
      </c>
      <c r="G251" s="7">
        <f>INDEX('Perk Values'!$L$5:$P$247,MATCH($B251,'Perk Values'!$A$5:$A$247,0),C251+1)</f>
        <v/>
      </c>
      <c r="H251" s="7">
        <f>INDEX('Perk Values'!$D$5:$D$247,MATCH($B251,'Perk Values'!$A$5:$A$247,0))</f>
        <v/>
      </c>
      <c r="I251" s="7" t="inlineStr"/>
    </row>
    <row r="252">
      <c r="A252" s="7" t="inlineStr">
        <is>
          <t>LCK</t>
        </is>
      </c>
      <c r="B252" s="7" t="inlineStr">
        <is>
          <t>Ricochet</t>
        </is>
      </c>
      <c r="C252" s="4">
        <f>VLOOKUP($B$4,Presets!$A$5:$IQ$6,242,FALSE)</f>
        <v/>
      </c>
      <c r="D252" s="7">
        <f>INDEX('Perk Values'!$C$5:$C$247,MATCH($B252,'Perk Values'!$A$5:$A$247,0))</f>
        <v/>
      </c>
      <c r="E252" s="7">
        <f>IF(C252&lt;=D252,"OK","exceeds max rank "&amp;D252)</f>
        <v/>
      </c>
      <c r="F252" s="7">
        <f>INDEX('Perk Values'!$G$5:$K$247,MATCH($B252,'Perk Values'!$A$5:$A$247,0),C252+1)</f>
        <v/>
      </c>
      <c r="G252" s="7">
        <f>INDEX('Perk Values'!$L$5:$P$247,MATCH($B252,'Perk Values'!$A$5:$A$247,0),C252+1)</f>
        <v/>
      </c>
      <c r="H252" s="7">
        <f>INDEX('Perk Values'!$D$5:$D$247,MATCH($B252,'Perk Values'!$A$5:$A$247,0))</f>
        <v/>
      </c>
      <c r="I252" s="7" t="inlineStr"/>
    </row>
    <row r="253">
      <c r="A253" s="7" t="inlineStr">
        <is>
          <t>LCK</t>
        </is>
      </c>
      <c r="B253" s="7" t="inlineStr">
        <is>
          <t>Scrounger</t>
        </is>
      </c>
      <c r="C253" s="4">
        <f>VLOOKUP($B$4,Presets!$A$5:$IQ$6,243,FALSE)</f>
        <v/>
      </c>
      <c r="D253" s="7">
        <f>INDEX('Perk Values'!$C$5:$C$247,MATCH($B253,'Perk Values'!$A$5:$A$247,0))</f>
        <v/>
      </c>
      <c r="E253" s="7">
        <f>IF(C253&lt;=D253,"OK","exceeds max rank "&amp;D253)</f>
        <v/>
      </c>
      <c r="F253" s="7">
        <f>INDEX('Perk Values'!$G$5:$K$247,MATCH($B253,'Perk Values'!$A$5:$A$247,0),C253+1)</f>
        <v/>
      </c>
      <c r="G253" s="7">
        <f>INDEX('Perk Values'!$L$5:$P$247,MATCH($B253,'Perk Values'!$A$5:$A$247,0),C253+1)</f>
        <v/>
      </c>
      <c r="H253" s="7">
        <f>INDEX('Perk Values'!$D$5:$D$247,MATCH($B253,'Perk Values'!$A$5:$A$247,0))</f>
        <v/>
      </c>
      <c r="I253" s="7" t="inlineStr"/>
    </row>
    <row r="254">
      <c r="A254" s="7" t="inlineStr">
        <is>
          <t>LCK</t>
        </is>
      </c>
      <c r="B254" s="7" t="inlineStr">
        <is>
          <t>Serendipity</t>
        </is>
      </c>
      <c r="C254" s="4">
        <f>VLOOKUP($B$4,Presets!$A$5:$IQ$6,244,FALSE)</f>
        <v/>
      </c>
      <c r="D254" s="7">
        <f>INDEX('Perk Values'!$C$5:$C$247,MATCH($B254,'Perk Values'!$A$5:$A$247,0))</f>
        <v/>
      </c>
      <c r="E254" s="7">
        <f>IF(C254&lt;=D254,"OK","exceeds max rank "&amp;D254)</f>
        <v/>
      </c>
      <c r="F254" s="7">
        <f>INDEX('Perk Values'!$G$5:$K$247,MATCH($B254,'Perk Values'!$A$5:$A$247,0),C254+1)</f>
        <v/>
      </c>
      <c r="G254" s="7">
        <f>INDEX('Perk Values'!$L$5:$P$247,MATCH($B254,'Perk Values'!$A$5:$A$247,0),C254+1)</f>
        <v/>
      </c>
      <c r="H254" s="7">
        <f>INDEX('Perk Values'!$D$5:$D$247,MATCH($B254,'Perk Values'!$A$5:$A$247,0))</f>
        <v/>
      </c>
      <c r="I254" s="7" t="inlineStr"/>
    </row>
    <row r="255">
      <c r="A255" s="7" t="inlineStr">
        <is>
          <t>LCK</t>
        </is>
      </c>
      <c r="B255" s="7" t="inlineStr">
        <is>
          <t>Storm Chaser</t>
        </is>
      </c>
      <c r="C255" s="4">
        <f>VLOOKUP($B$4,Presets!$A$5:$IQ$6,245,FALSE)</f>
        <v/>
      </c>
      <c r="D255" s="7">
        <f>INDEX('Perk Values'!$C$5:$C$247,MATCH($B255,'Perk Values'!$A$5:$A$247,0))</f>
        <v/>
      </c>
      <c r="E255" s="7">
        <f>IF(C255&lt;=D255,"OK","exceeds max rank "&amp;D255)</f>
        <v/>
      </c>
      <c r="F255" s="7">
        <f>INDEX('Perk Values'!$G$5:$K$247,MATCH($B255,'Perk Values'!$A$5:$A$247,0),C255+1)</f>
        <v/>
      </c>
      <c r="G255" s="7">
        <f>INDEX('Perk Values'!$L$5:$P$247,MATCH($B255,'Perk Values'!$A$5:$A$247,0),C255+1)</f>
        <v/>
      </c>
      <c r="H255" s="7">
        <f>INDEX('Perk Values'!$D$5:$D$247,MATCH($B255,'Perk Values'!$A$5:$A$247,0))</f>
        <v/>
      </c>
      <c r="I255" s="7" t="inlineStr"/>
    </row>
    <row r="256">
      <c r="A256" s="7" t="inlineStr">
        <is>
          <t>LCK</t>
        </is>
      </c>
      <c r="B256" s="7" t="inlineStr">
        <is>
          <t>Super Duper</t>
        </is>
      </c>
      <c r="C256" s="4">
        <f>VLOOKUP($B$4,Presets!$A$5:$IQ$6,246,FALSE)</f>
        <v/>
      </c>
      <c r="D256" s="7">
        <f>INDEX('Perk Values'!$C$5:$C$247,MATCH($B256,'Perk Values'!$A$5:$A$247,0))</f>
        <v/>
      </c>
      <c r="E256" s="7">
        <f>IF(C256&lt;=D256,"OK","exceeds max rank "&amp;D256)</f>
        <v/>
      </c>
      <c r="F256" s="7">
        <f>INDEX('Perk Values'!$G$5:$K$247,MATCH($B256,'Perk Values'!$A$5:$A$247,0),C256+1)</f>
        <v/>
      </c>
      <c r="G256" s="7">
        <f>INDEX('Perk Values'!$L$5:$P$247,MATCH($B256,'Perk Values'!$A$5:$A$247,0),C256+1)</f>
        <v/>
      </c>
      <c r="H256" s="7">
        <f>INDEX('Perk Values'!$D$5:$D$247,MATCH($B256,'Perk Values'!$A$5:$A$247,0))</f>
        <v/>
      </c>
      <c r="I256" s="7" t="inlineStr"/>
    </row>
    <row r="257">
      <c r="A257" s="7" t="inlineStr">
        <is>
          <t>LCK</t>
        </is>
      </c>
      <c r="B257" s="7" t="inlineStr">
        <is>
          <t>Woodchucker</t>
        </is>
      </c>
      <c r="C257" s="4">
        <f>VLOOKUP($B$4,Presets!$A$5:$IQ$6,247,FALSE)</f>
        <v/>
      </c>
      <c r="D257" s="7">
        <f>INDEX('Perk Values'!$C$5:$C$247,MATCH($B257,'Perk Values'!$A$5:$A$247,0))</f>
        <v/>
      </c>
      <c r="E257" s="7">
        <f>IF(C257&lt;=D257,"OK","exceeds max rank "&amp;D257)</f>
        <v/>
      </c>
      <c r="F257" s="7">
        <f>INDEX('Perk Values'!$G$5:$K$247,MATCH($B257,'Perk Values'!$A$5:$A$247,0),C257+1)</f>
        <v/>
      </c>
      <c r="G257" s="7">
        <f>INDEX('Perk Values'!$L$5:$P$247,MATCH($B257,'Perk Values'!$A$5:$A$247,0),C257+1)</f>
        <v/>
      </c>
      <c r="H257" s="7">
        <f>INDEX('Perk Values'!$D$5:$D$247,MATCH($B257,'Perk Values'!$A$5:$A$247,0))</f>
        <v/>
      </c>
      <c r="I257" s="7" t="inlineStr"/>
    </row>
    <row r="258">
      <c r="A258" s="7" t="inlineStr">
        <is>
          <t>LCK</t>
        </is>
      </c>
      <c r="B258" s="7" t="inlineStr">
        <is>
          <t>Battle-Genes</t>
        </is>
      </c>
      <c r="C258" s="4">
        <f>VLOOKUP($B$4,Presets!$A$5:$IQ$6,248,FALSE)</f>
        <v/>
      </c>
      <c r="D258" s="7">
        <f>INDEX('Perk Values'!$C$5:$C$247,MATCH($B258,'Perk Values'!$A$5:$A$247,0))</f>
        <v/>
      </c>
      <c r="E258" s="7">
        <f>IF(C258&lt;=D258,"OK","exceeds max rank "&amp;D258)</f>
        <v/>
      </c>
      <c r="F258" s="7">
        <f>INDEX('Perk Values'!$G$5:$K$247,MATCH($B258,'Perk Values'!$A$5:$A$247,0),C258+1)</f>
        <v/>
      </c>
      <c r="G258" s="7">
        <f>INDEX('Perk Values'!$L$5:$P$247,MATCH($B258,'Perk Values'!$A$5:$A$247,0),C258+1)</f>
        <v/>
      </c>
      <c r="H258" s="7">
        <f>INDEX('Perk Values'!$D$5:$D$247,MATCH($B258,'Perk Values'!$A$5:$A$247,0))</f>
        <v/>
      </c>
      <c r="I258" s="7" t="inlineStr"/>
    </row>
    <row r="259">
      <c r="A259" s="7" t="inlineStr">
        <is>
          <t>LCK</t>
        </is>
      </c>
      <c r="B259" s="7" t="inlineStr">
        <is>
          <t>Faulty Spots</t>
        </is>
      </c>
      <c r="C259" s="4">
        <f>VLOOKUP($B$4,Presets!$A$5:$IQ$6,249,FALSE)</f>
        <v/>
      </c>
      <c r="D259" s="7">
        <f>INDEX('Perk Values'!$C$5:$C$247,MATCH($B259,'Perk Values'!$A$5:$A$247,0))</f>
        <v/>
      </c>
      <c r="E259" s="7">
        <f>IF(C259&lt;=D259,"OK","exceeds max rank "&amp;D259)</f>
        <v/>
      </c>
      <c r="F259" s="7">
        <f>INDEX('Perk Values'!$G$5:$K$247,MATCH($B259,'Perk Values'!$A$5:$A$247,0),C259+1)</f>
        <v/>
      </c>
      <c r="G259" s="7">
        <f>INDEX('Perk Values'!$L$5:$P$247,MATCH($B259,'Perk Values'!$A$5:$A$247,0),C259+1)</f>
        <v/>
      </c>
      <c r="H259" s="7">
        <f>INDEX('Perk Values'!$D$5:$D$247,MATCH($B259,'Perk Values'!$A$5:$A$247,0))</f>
        <v/>
      </c>
      <c r="I259" s="7" t="inlineStr"/>
    </row>
    <row r="260">
      <c r="A260" s="7" t="inlineStr">
        <is>
          <t>LCK</t>
        </is>
      </c>
      <c r="B260" s="7" t="inlineStr">
        <is>
          <t>Glowing Criticals</t>
        </is>
      </c>
      <c r="C260" s="4">
        <f>VLOOKUP($B$4,Presets!$A$5:$IQ$6,250,FALSE)</f>
        <v/>
      </c>
      <c r="D260" s="7">
        <f>INDEX('Perk Values'!$C$5:$C$247,MATCH($B260,'Perk Values'!$A$5:$A$247,0))</f>
        <v/>
      </c>
      <c r="E260" s="7">
        <f>IF(C260&lt;=D260,"OK","exceeds max rank "&amp;D260)</f>
        <v/>
      </c>
      <c r="F260" s="7">
        <f>INDEX('Perk Values'!$G$5:$K$247,MATCH($B260,'Perk Values'!$A$5:$A$247,0),C260+1)</f>
        <v/>
      </c>
      <c r="G260" s="7">
        <f>INDEX('Perk Values'!$L$5:$P$247,MATCH($B260,'Perk Values'!$A$5:$A$247,0),C260+1)</f>
        <v/>
      </c>
      <c r="H260" s="7">
        <f>INDEX('Perk Values'!$D$5:$D$247,MATCH($B260,'Perk Values'!$A$5:$A$247,0))</f>
        <v/>
      </c>
      <c r="I260" s="7" t="inlineStr"/>
    </row>
    <row r="261">
      <c r="A261" s="7" t="inlineStr">
        <is>
          <t>LCK</t>
        </is>
      </c>
      <c r="B261" s="7" t="inlineStr">
        <is>
          <t>Wild West Hands</t>
        </is>
      </c>
      <c r="C261" s="4">
        <f>VLOOKUP($B$4,Presets!$A$5:$IQ$6,251,FALSE)</f>
        <v/>
      </c>
      <c r="D261" s="7">
        <f>INDEX('Perk Values'!$C$5:$C$247,MATCH($B261,'Perk Values'!$A$5:$A$247,0))</f>
        <v/>
      </c>
      <c r="E261" s="7">
        <f>IF(C261&lt;=D261,"OK","exceeds max rank "&amp;D261)</f>
        <v/>
      </c>
      <c r="F261" s="7">
        <f>INDEX('Perk Values'!$G$5:$K$247,MATCH($B261,'Perk Values'!$A$5:$A$247,0),C261+1)</f>
        <v/>
      </c>
      <c r="G261" s="7">
        <f>INDEX('Perk Values'!$L$5:$P$247,MATCH($B261,'Perk Values'!$A$5:$A$247,0),C261+1)</f>
        <v/>
      </c>
      <c r="H261" s="7">
        <f>INDEX('Perk Values'!$D$5:$D$247,MATCH($B261,'Perk Values'!$A$5:$A$247,0))</f>
        <v/>
      </c>
      <c r="I261" s="7" t="inlineStr"/>
    </row>
  </sheetData>
  <autoFilter ref="A18:I261"/>
  <mergeCells count="1">
    <mergeCell ref="A2:H2"/>
  </mergeCells>
  <dataValidations count="3">
    <dataValidation sqref="B4" showDropDown="0" showInputMessage="0" showErrorMessage="0" allowBlank="0" type="list">
      <formula1>=Presets!$A$5:$A$6</formula1>
    </dataValidation>
    <dataValidation sqref="B8 B9 B10 B11 B12 B13 B14" showDropDown="0" showInputMessage="0" showErrorMessage="0" allowBlank="0" type="whole" operator="between">
      <formula1>1</formula1>
      <formula2>15</formula2>
    </dataValidation>
    <dataValidation sqref="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showDropDown="0" showInputMessage="0" showErrorMessage="0" allowBlank="0" type="whole" operator="between">
      <formula1>0</formula1>
      <formula2>4</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6"/>
  <sheetViews>
    <sheetView tabSelected="0" workbookViewId="0">
      <pane xSplit="1" ySplit="50" topLeftCell="B51" activePane="bottomRight" state="frozen"/>
      <selection pane="topRight"/>
      <selection pane="bottomLeft"/>
      <selection pane="bottomRight" activeCell="A1" sqref="A1"/>
    </sheetView>
  </sheetViews>
  <sheetFormatPr baseColWidth="8" defaultRowHeight="15"/>
  <cols>
    <col width="46" customWidth="1" min="1" max="1"/>
    <col width="26" customWidth="1" min="2" max="2"/>
    <col width="26" customWidth="1" min="3" max="3"/>
    <col width="16" customWidth="1" min="4" max="4"/>
    <col width="12" customWidth="1" min="5" max="5"/>
  </cols>
  <sheetData>
    <row r="1">
      <c r="A1" s="1" t="inlineStr">
        <is>
          <t>Weapon Comparison — sustained DPS, Scenario A vs Scenario B</t>
        </is>
      </c>
    </row>
    <row r="2" ht="45" customHeight="1">
      <c r="A2" s="2" t="inlineStr">
        <is>
          <t>Set up two weapons (or the same weapon with two different legendary picks) and compare their sustained DPS under one shared combat scenario. Perk-driven numbers come live from 'Build Configurator' — change your build there and both scenarios update. See 'Mechanics &amp; Caps' for what this steady-state model does and doesn't capture.</t>
        </is>
      </c>
    </row>
    <row r="4">
      <c r="A4" s="5" t="inlineStr">
        <is>
          <t>Shared Combat Scenario</t>
        </is>
      </c>
    </row>
    <row r="5">
      <c r="A5" s="6" t="inlineStr">
        <is>
          <t>Input</t>
        </is>
      </c>
      <c r="B5" s="6" t="inlineStr">
        <is>
          <t>Value</t>
        </is>
      </c>
    </row>
    <row r="6">
      <c r="A6" t="inlineStr">
        <is>
          <t>Crippled Limbs on Target (0-4)</t>
        </is>
      </c>
      <c r="B6" s="4" t="n">
        <v>1</v>
      </c>
    </row>
    <row r="7">
      <c r="A7" t="inlineStr">
        <is>
          <t>Impairment Types on Target (0-5)</t>
        </is>
      </c>
      <c r="B7" s="4" t="n">
        <v>1</v>
      </c>
    </row>
    <row r="8">
      <c r="A8" t="inlineStr">
        <is>
          <t>Target Bleeding? (Y/N)</t>
        </is>
      </c>
      <c r="B8" s="4" t="inlineStr">
        <is>
          <t>N</t>
        </is>
      </c>
    </row>
    <row r="9">
      <c r="A9" t="inlineStr">
        <is>
          <t>Target Burning? (Y/N)</t>
        </is>
      </c>
      <c r="B9" s="4" t="inlineStr">
        <is>
          <t>N</t>
        </is>
      </c>
    </row>
    <row r="10">
      <c r="A10" t="inlineStr">
        <is>
          <t>Onslaught Stacks Right Now (0-30)</t>
        </is>
      </c>
      <c r="B10" s="4" t="n">
        <v>8</v>
      </c>
    </row>
    <row r="11">
      <c r="A11" t="inlineStr">
        <is>
          <t>Kill-Streak Stacks / Adrenaline (0-10)</t>
        </is>
      </c>
      <c r="B11" s="4" t="n">
        <v>0</v>
      </c>
    </row>
    <row r="12">
      <c r="A12" t="inlineStr">
        <is>
          <t>Concentrated Fire Stacks (0-20)</t>
        </is>
      </c>
      <c r="B12" s="4" t="n">
        <v>0</v>
      </c>
    </row>
    <row r="13">
      <c r="A13" t="inlineStr">
        <is>
          <t>Tenderizer Team Stack % Active (0-100)</t>
        </is>
      </c>
      <c r="B13" s="4" t="n">
        <v>0</v>
      </c>
    </row>
    <row r="14">
      <c r="A14" t="inlineStr">
        <is>
          <t>Enemy Close Range? (Y/N)</t>
        </is>
      </c>
      <c r="B14" s="4" t="inlineStr">
        <is>
          <t>N</t>
        </is>
      </c>
    </row>
    <row r="15">
      <c r="A15" t="inlineStr">
        <is>
          <t>Distance to Target, feet (gates Down Ranger, 47+)</t>
        </is>
      </c>
      <c r="B15" s="4" t="n">
        <v>60</v>
      </c>
    </row>
    <row r="16">
      <c r="A16" t="inlineStr">
        <is>
          <t>In VATS, Same-Target Streak? (Y/N)</t>
        </is>
      </c>
      <c r="B16" s="4" t="inlineStr">
        <is>
          <t>Y</t>
        </is>
      </c>
    </row>
    <row r="17">
      <c r="A17" t="inlineStr">
        <is>
          <t>Weak-Spot Hit Frequency % (0-100)</t>
        </is>
      </c>
      <c r="B17" s="4" t="n">
        <v>70</v>
      </c>
    </row>
    <row r="18">
      <c r="A18" t="inlineStr">
        <is>
          <t>VATS Critical Frequency % (0-100)</t>
        </is>
      </c>
      <c r="B18" s="4" t="n">
        <v>40</v>
      </c>
    </row>
    <row r="19">
      <c r="A19" t="inlineStr">
        <is>
          <t>Sneak Attack Frequency % (0-100)</t>
        </is>
      </c>
      <c r="B19" s="4" t="n">
        <v>0</v>
      </c>
    </row>
    <row r="20">
      <c r="A20" t="inlineStr">
        <is>
          <t>Expending Glow this fight? (Y/N)</t>
        </is>
      </c>
      <c r="B20" s="4" t="inlineStr">
        <is>
          <t>Y</t>
        </is>
      </c>
    </row>
    <row r="21">
      <c r="A21" t="inlineStr">
        <is>
          <t>Enemy Base Damage Resistance (DR)</t>
        </is>
      </c>
      <c r="B21" s="4" t="n">
        <v>400</v>
      </c>
    </row>
    <row r="22">
      <c r="A22" t="inlineStr">
        <is>
          <t>Your Max AP Pool</t>
        </is>
      </c>
      <c r="B22" s="4" t="n">
        <v>250</v>
      </c>
    </row>
    <row r="23">
      <c r="A23" t="inlineStr">
        <is>
          <t>Your AP Regen Rate (per sec)</t>
        </is>
      </c>
      <c r="B23" s="4" t="n">
        <v>14</v>
      </c>
    </row>
    <row r="25">
      <c r="A25" s="5" t="inlineStr">
        <is>
          <t>Build-Derived Values (read-only — from Build Configurator)</t>
        </is>
      </c>
    </row>
    <row r="26">
      <c r="A26" s="6" t="inlineStr">
        <is>
          <t>Perk</t>
        </is>
      </c>
      <c r="B26" s="6" t="inlineStr">
        <is>
          <t>Current Value</t>
        </is>
      </c>
    </row>
    <row r="27">
      <c r="A27" t="inlineStr">
        <is>
          <t>Easy Target</t>
        </is>
      </c>
      <c r="B27" s="7">
        <f>'Build Configurator'!G28</f>
        <v/>
      </c>
    </row>
    <row r="28">
      <c r="A28" t="inlineStr">
        <is>
          <t>Tormentor</t>
        </is>
      </c>
      <c r="B28" s="7">
        <f>'Build Configurator'!G88</f>
        <v/>
      </c>
    </row>
    <row r="29">
      <c r="A29" t="inlineStr">
        <is>
          <t>Tank Killer</t>
        </is>
      </c>
      <c r="B29" s="7">
        <f>'Build Configurator'!G87</f>
        <v/>
      </c>
    </row>
    <row r="30">
      <c r="A30" t="inlineStr">
        <is>
          <t>Deal Sealer</t>
        </is>
      </c>
      <c r="B30" s="7">
        <f>'Build Configurator'!G62</f>
        <v/>
      </c>
    </row>
    <row r="31">
      <c r="A31" t="inlineStr">
        <is>
          <t>Concentrated Fire</t>
        </is>
      </c>
      <c r="B31" s="7">
        <f>'Build Configurator'!G60</f>
        <v/>
      </c>
    </row>
    <row r="32">
      <c r="A32" t="inlineStr">
        <is>
          <t>Number Cruncher</t>
        </is>
      </c>
      <c r="B32" s="7">
        <f>'Build Configurator'!G78</f>
        <v/>
      </c>
    </row>
    <row r="33">
      <c r="A33" t="inlineStr">
        <is>
          <t>Gunslinger</t>
        </is>
      </c>
      <c r="B33" s="7">
        <f>'Build Configurator'!G215</f>
        <v/>
      </c>
    </row>
    <row r="34">
      <c r="A34" t="inlineStr">
        <is>
          <t>Gunslinger Expert</t>
        </is>
      </c>
      <c r="B34" s="7">
        <f>'Build Configurator'!G216</f>
        <v/>
      </c>
    </row>
    <row r="35">
      <c r="A35" t="inlineStr">
        <is>
          <t>Guerrilla</t>
        </is>
      </c>
      <c r="B35" s="7">
        <f>'Build Configurator'!G210</f>
        <v/>
      </c>
    </row>
    <row r="36">
      <c r="A36" t="inlineStr">
        <is>
          <t>Guerrilla Expert</t>
        </is>
      </c>
      <c r="B36" s="7">
        <f>'Build Configurator'!G211</f>
        <v/>
      </c>
    </row>
    <row r="37">
      <c r="A37" t="inlineStr">
        <is>
          <t>Guerrilla Master</t>
        </is>
      </c>
      <c r="B37" s="7">
        <f>'Build Configurator'!G212</f>
        <v/>
      </c>
    </row>
    <row r="38">
      <c r="A38" t="inlineStr">
        <is>
          <t>Adrenaline</t>
        </is>
      </c>
      <c r="B38" s="7">
        <f>'Build Configurator'!G200</f>
        <v/>
      </c>
    </row>
    <row r="39">
      <c r="A39" t="inlineStr">
        <is>
          <t>Better Criticals</t>
        </is>
      </c>
      <c r="B39" s="7">
        <f>'Build Configurator'!G232</f>
        <v/>
      </c>
    </row>
    <row r="40">
      <c r="A40" t="inlineStr">
        <is>
          <t>Faulty Spots</t>
        </is>
      </c>
      <c r="B40" s="7">
        <f>'Build Configurator'!G259</f>
        <v/>
      </c>
    </row>
    <row r="41">
      <c r="A41" t="inlineStr">
        <is>
          <t>Glowing Criticals</t>
        </is>
      </c>
      <c r="B41" s="7">
        <f>'Build Configurator'!G260</f>
        <v/>
      </c>
    </row>
    <row r="42">
      <c r="A42" t="inlineStr">
        <is>
          <t>Wild West Hands</t>
        </is>
      </c>
      <c r="B42" s="7">
        <f>'Build Configurator'!G261</f>
        <v/>
      </c>
    </row>
    <row r="43">
      <c r="A43" t="inlineStr">
        <is>
          <t>Radiation Power</t>
        </is>
      </c>
      <c r="B43" s="7">
        <f>'Build Configurator'!G131</f>
        <v/>
      </c>
    </row>
    <row r="44">
      <c r="A44" t="inlineStr">
        <is>
          <t>Wound Salter</t>
        </is>
      </c>
      <c r="B44" s="7">
        <f>'Build Configurator'!G50</f>
        <v/>
      </c>
    </row>
    <row r="45">
      <c r="A45" t="inlineStr">
        <is>
          <t>Enforcer</t>
        </is>
      </c>
      <c r="B45" s="7">
        <f>'Build Configurator'!G206</f>
        <v/>
      </c>
    </row>
    <row r="46">
      <c r="A46" t="inlineStr">
        <is>
          <t>Down Ranger</t>
        </is>
      </c>
      <c r="B46" s="7">
        <f>'Build Configurator'!G63</f>
        <v/>
      </c>
    </row>
    <row r="47">
      <c r="A47" t="inlineStr">
        <is>
          <t>Center Masochist</t>
        </is>
      </c>
      <c r="B47" s="7">
        <f>'Build Configurator'!G59</f>
        <v/>
      </c>
    </row>
    <row r="49">
      <c r="A49" s="5" t="inlineStr">
        <is>
          <t>Scenario A vs Scenario B</t>
        </is>
      </c>
    </row>
    <row r="50">
      <c r="A50" s="6" t="inlineStr">
        <is>
          <t>Attribute</t>
        </is>
      </c>
      <c r="B50" s="6" t="inlineStr">
        <is>
          <t>Scenario A</t>
        </is>
      </c>
      <c r="C50" s="6" t="inlineStr">
        <is>
          <t>Scenario B</t>
        </is>
      </c>
      <c r="D50" s="6" t="inlineStr">
        <is>
          <t>Delta (B - A)</t>
        </is>
      </c>
      <c r="E50" s="6" t="inlineStr">
        <is>
          <t>Delta %</t>
        </is>
      </c>
    </row>
    <row r="51">
      <c r="A51" t="inlineStr">
        <is>
          <t>Weapon Name</t>
        </is>
      </c>
      <c r="B51" s="4" t="inlineStr">
        <is>
          <t>Weapon A (e.g. current pick)</t>
        </is>
      </c>
      <c r="C51" s="4" t="inlineStr">
        <is>
          <t>Weapon B (e.g. the swap)</t>
        </is>
      </c>
    </row>
    <row r="52">
      <c r="A52" t="inlineStr">
        <is>
          <t>Base Damage per shot</t>
        </is>
      </c>
      <c r="B52" s="4" t="n">
        <v>45</v>
      </c>
      <c r="C52" s="4" t="n">
        <v>45</v>
      </c>
    </row>
    <row r="53">
      <c r="A53" t="inlineStr">
        <is>
          <t>Magazine Size (base)</t>
        </is>
      </c>
      <c r="B53" s="4" t="n">
        <v>30</v>
      </c>
      <c r="C53" s="4" t="n">
        <v>30</v>
      </c>
    </row>
    <row r="54">
      <c r="A54" t="inlineStr">
        <is>
          <t>Base Reload Time, sec</t>
        </is>
      </c>
      <c r="B54" s="4" t="n">
        <v>3</v>
      </c>
      <c r="C54" s="4" t="n">
        <v>3</v>
      </c>
    </row>
    <row r="55">
      <c r="A55" t="inlineStr">
        <is>
          <t>Base Fire Rate, rounds/sec</t>
        </is>
      </c>
      <c r="B55" s="4" t="n">
        <v>9</v>
      </c>
      <c r="C55" s="4" t="n">
        <v>9</v>
      </c>
    </row>
    <row r="56">
      <c r="A56" t="inlineStr">
        <is>
          <t>Base AP Cost per VATS shot</t>
        </is>
      </c>
      <c r="B56" s="4" t="n">
        <v>12</v>
      </c>
      <c r="C56" s="4" t="n">
        <v>12</v>
      </c>
    </row>
    <row r="57">
      <c r="A57" t="inlineStr">
        <is>
          <t>Uses VATS? (Y/N)</t>
        </is>
      </c>
      <c r="B57" s="4" t="inlineStr">
        <is>
          <t>Y</t>
        </is>
      </c>
      <c r="C57" s="4" t="inlineStr">
        <is>
          <t>Y</t>
        </is>
      </c>
    </row>
    <row r="58">
      <c r="A58" t="inlineStr">
        <is>
          <t>Legendary Slot 1 (1-star)</t>
        </is>
      </c>
      <c r="B58" s="4" t="inlineStr">
        <is>
          <t>Furious</t>
        </is>
      </c>
      <c r="C58" s="4" t="inlineStr">
        <is>
          <t>Anti-Armor</t>
        </is>
      </c>
    </row>
    <row r="59">
      <c r="A59" t="inlineStr">
        <is>
          <t>Legendary Slot 2 (2-star)</t>
        </is>
      </c>
      <c r="B59" s="4" t="inlineStr">
        <is>
          <t>Vital</t>
        </is>
      </c>
      <c r="C59" s="4" t="inlineStr">
        <is>
          <t>Vital</t>
        </is>
      </c>
    </row>
    <row r="60">
      <c r="A60" t="inlineStr">
        <is>
          <t>Legendary Slot 3 (3-star)</t>
        </is>
      </c>
      <c r="B60" s="4" t="inlineStr">
        <is>
          <t>Swift</t>
        </is>
      </c>
      <c r="C60" s="4" t="inlineStr">
        <is>
          <t>V.A.T.S. Optimized</t>
        </is>
      </c>
    </row>
    <row r="61">
      <c r="A61" t="inlineStr">
        <is>
          <t>Legendary Slot 4 (4-star)</t>
        </is>
      </c>
      <c r="B61" s="4" t="inlineStr">
        <is>
          <t>Pin-Pointer's</t>
        </is>
      </c>
      <c r="C61" s="4" t="inlineStr">
        <is>
          <t>Pin-Pointer's</t>
        </is>
      </c>
    </row>
    <row r="62">
      <c r="A62" s="7" t="inlineStr">
        <is>
          <t>Legendary: General Dmg Bonus %</t>
        </is>
      </c>
      <c r="B62" s="7">
        <f>(SUMIFS('Legendary Values'!$D$5:$D$22,'Legendary Values'!$A$5:$A$22,B58,'Legendary Values'!$C$5:$C$22,"dmg_general_per_crippled_limb")+SUMIFS('Legendary Values'!$D$5:$D$22,'Legendary Values'!$A$5:$A$22,B59,'Legendary Values'!$C$5:$C$22,"dmg_general_per_crippled_limb")+SUMIFS('Legendary Values'!$D$5:$D$22,'Legendary Values'!$A$5:$A$22,B60,'Legendary Values'!$C$5:$C$22,"dmg_general_per_crippled_limb")+SUMIFS('Legendary Values'!$D$5:$D$22,'Legendary Values'!$A$5:$A$22,B61,'Legendary Values'!$C$5:$C$22,"dmg_general_per_crippled_limb"))*$B$6+(SUMIFS('Legendary Values'!$D$5:$D$22,'Legendary Values'!$A$5:$A$22,B58,'Legendary Values'!$C$5:$C$22,"dmg_general_flat_bonus")+SUMIFS('Legendary Values'!$D$5:$D$22,'Legendary Values'!$A$5:$A$22,B59,'Legendary Values'!$C$5:$C$22,"dmg_general_flat_bonus")+SUMIFS('Legendary Values'!$D$5:$D$22,'Legendary Values'!$A$5:$A$22,B60,'Legendary Values'!$C$5:$C$22,"dmg_general_flat_bonus")+SUMIFS('Legendary Values'!$D$5:$D$22,'Legendary Values'!$A$5:$A$22,B61,'Legendary Values'!$C$5:$C$22,"dmg_general_flat_bonus"))+(SUMIFS('Legendary Values'!$D$5:$D$22,'Legendary Values'!$A$5:$A$22,B58,'Legendary Values'!$C$5:$C$22,"dmg_vs_bleeding")+SUMIFS('Legendary Values'!$D$5:$D$22,'Legendary Values'!$A$5:$A$22,B59,'Legendary Values'!$C$5:$C$22,"dmg_vs_bleeding")+SUMIFS('Legendary Values'!$D$5:$D$22,'Legendary Values'!$A$5:$A$22,B60,'Legendary Values'!$C$5:$C$22,"dmg_vs_bleeding")+SUMIFS('Legendary Values'!$D$5:$D$22,'Legendary Values'!$A$5:$A$22,B61,'Legendary Values'!$C$5:$C$22,"dmg_vs_bleeding"))*IF($B$8="Y",1,0)+(SUMIFS('Legendary Values'!$D$5:$D$22,'Legendary Values'!$A$5:$A$22,B58,'Legendary Values'!$C$5:$C$22,"dmg_vs_burning")+SUMIFS('Legendary Values'!$D$5:$D$22,'Legendary Values'!$A$5:$A$22,B59,'Legendary Values'!$C$5:$C$22,"dmg_vs_burning")+SUMIFS('Legendary Values'!$D$5:$D$22,'Legendary Values'!$A$5:$A$22,B60,'Legendary Values'!$C$5:$C$22,"dmg_vs_burning")+SUMIFS('Legendary Values'!$D$5:$D$22,'Legendary Values'!$A$5:$A$22,B61,'Legendary Values'!$C$5:$C$22,"dmg_vs_burning"))*IF($B$9="Y",1,0)+(SUMIFS('Legendary Values'!$D$5:$D$22,'Legendary Values'!$A$5:$A$22,B58,'Legendary Values'!$C$5:$C$22,"dmg_general_per_onslaught_stack")+SUMIFS('Legendary Values'!$D$5:$D$22,'Legendary Values'!$A$5:$A$22,B59,'Legendary Values'!$C$5:$C$22,"dmg_general_per_onslaught_stack")+SUMIFS('Legendary Values'!$D$5:$D$22,'Legendary Values'!$A$5:$A$22,B60,'Legendary Values'!$C$5:$C$22,"dmg_general_per_onslaught_stack")+SUMIFS('Legendary Values'!$D$5:$D$22,'Legendary Values'!$A$5:$A$22,B61,'Legendary Values'!$C$5:$C$22,"dmg_general_per_onslaught_stack"))*$B$10</f>
        <v/>
      </c>
      <c r="C62" s="7">
        <f>(SUMIFS('Legendary Values'!$D$5:$D$22,'Legendary Values'!$A$5:$A$22,C58,'Legendary Values'!$C$5:$C$22,"dmg_general_per_crippled_limb")+SUMIFS('Legendary Values'!$D$5:$D$22,'Legendary Values'!$A$5:$A$22,C59,'Legendary Values'!$C$5:$C$22,"dmg_general_per_crippled_limb")+SUMIFS('Legendary Values'!$D$5:$D$22,'Legendary Values'!$A$5:$A$22,C60,'Legendary Values'!$C$5:$C$22,"dmg_general_per_crippled_limb")+SUMIFS('Legendary Values'!$D$5:$D$22,'Legendary Values'!$A$5:$A$22,C61,'Legendary Values'!$C$5:$C$22,"dmg_general_per_crippled_limb"))*$B$6+(SUMIFS('Legendary Values'!$D$5:$D$22,'Legendary Values'!$A$5:$A$22,C58,'Legendary Values'!$C$5:$C$22,"dmg_general_flat_bonus")+SUMIFS('Legendary Values'!$D$5:$D$22,'Legendary Values'!$A$5:$A$22,C59,'Legendary Values'!$C$5:$C$22,"dmg_general_flat_bonus")+SUMIFS('Legendary Values'!$D$5:$D$22,'Legendary Values'!$A$5:$A$22,C60,'Legendary Values'!$C$5:$C$22,"dmg_general_flat_bonus")+SUMIFS('Legendary Values'!$D$5:$D$22,'Legendary Values'!$A$5:$A$22,C61,'Legendary Values'!$C$5:$C$22,"dmg_general_flat_bonus"))+(SUMIFS('Legendary Values'!$D$5:$D$22,'Legendary Values'!$A$5:$A$22,C58,'Legendary Values'!$C$5:$C$22,"dmg_vs_bleeding")+SUMIFS('Legendary Values'!$D$5:$D$22,'Legendary Values'!$A$5:$A$22,C59,'Legendary Values'!$C$5:$C$22,"dmg_vs_bleeding")+SUMIFS('Legendary Values'!$D$5:$D$22,'Legendary Values'!$A$5:$A$22,C60,'Legendary Values'!$C$5:$C$22,"dmg_vs_bleeding")+SUMIFS('Legendary Values'!$D$5:$D$22,'Legendary Values'!$A$5:$A$22,C61,'Legendary Values'!$C$5:$C$22,"dmg_vs_bleeding"))*IF($B$8="Y",1,0)+(SUMIFS('Legendary Values'!$D$5:$D$22,'Legendary Values'!$A$5:$A$22,C58,'Legendary Values'!$C$5:$C$22,"dmg_vs_burning")+SUMIFS('Legendary Values'!$D$5:$D$22,'Legendary Values'!$A$5:$A$22,C59,'Legendary Values'!$C$5:$C$22,"dmg_vs_burning")+SUMIFS('Legendary Values'!$D$5:$D$22,'Legendary Values'!$A$5:$A$22,C60,'Legendary Values'!$C$5:$C$22,"dmg_vs_burning")+SUMIFS('Legendary Values'!$D$5:$D$22,'Legendary Values'!$A$5:$A$22,C61,'Legendary Values'!$C$5:$C$22,"dmg_vs_burning"))*IF($B$9="Y",1,0)+(SUMIFS('Legendary Values'!$D$5:$D$22,'Legendary Values'!$A$5:$A$22,C58,'Legendary Values'!$C$5:$C$22,"dmg_general_per_onslaught_stack")+SUMIFS('Legendary Values'!$D$5:$D$22,'Legendary Values'!$A$5:$A$22,C59,'Legendary Values'!$C$5:$C$22,"dmg_general_per_onslaught_stack")+SUMIFS('Legendary Values'!$D$5:$D$22,'Legendary Values'!$A$5:$A$22,C60,'Legendary Values'!$C$5:$C$22,"dmg_general_per_onslaught_stack")+SUMIFS('Legendary Values'!$D$5:$D$22,'Legendary Values'!$A$5:$A$22,C61,'Legendary Values'!$C$5:$C$22,"dmg_general_per_onslaught_stack"))*$B$10</f>
        <v/>
      </c>
      <c r="D62" s="7">
        <f>C62-B62</f>
        <v/>
      </c>
      <c r="E62" s="8">
        <f>IFERROR((C62-B62)/B62,"n/a")</f>
        <v/>
      </c>
    </row>
    <row r="63">
      <c r="A63" s="7" t="inlineStr">
        <is>
          <t>Legendary: Weak-Spot Dmg Bonus %</t>
        </is>
      </c>
      <c r="B63" s="7">
        <f>(SUMIFS('Legendary Values'!$D$5:$D$22,'Legendary Values'!$A$5:$A$22,B58,'Legendary Values'!$C$5:$C$22,"dmg_weakspot")+SUMIFS('Legendary Values'!$D$5:$D$22,'Legendary Values'!$A$5:$A$22,B59,'Legendary Values'!$C$5:$C$22,"dmg_weakspot")+SUMIFS('Legendary Values'!$D$5:$D$22,'Legendary Values'!$A$5:$A$22,B60,'Legendary Values'!$C$5:$C$22,"dmg_weakspot")+SUMIFS('Legendary Values'!$D$5:$D$22,'Legendary Values'!$A$5:$A$22,B61,'Legendary Values'!$C$5:$C$22,"dmg_weakspot"))</f>
        <v/>
      </c>
      <c r="C63" s="7">
        <f>(SUMIFS('Legendary Values'!$D$5:$D$22,'Legendary Values'!$A$5:$A$22,C58,'Legendary Values'!$C$5:$C$22,"dmg_weakspot")+SUMIFS('Legendary Values'!$D$5:$D$22,'Legendary Values'!$A$5:$A$22,C59,'Legendary Values'!$C$5:$C$22,"dmg_weakspot")+SUMIFS('Legendary Values'!$D$5:$D$22,'Legendary Values'!$A$5:$A$22,C60,'Legendary Values'!$C$5:$C$22,"dmg_weakspot")+SUMIFS('Legendary Values'!$D$5:$D$22,'Legendary Values'!$A$5:$A$22,C61,'Legendary Values'!$C$5:$C$22,"dmg_weakspot"))</f>
        <v/>
      </c>
      <c r="D63" s="7">
        <f>C63-B63</f>
        <v/>
      </c>
      <c r="E63" s="8">
        <f>IFERROR((C63-B63)/B63,"n/a")</f>
        <v/>
      </c>
    </row>
    <row r="64">
      <c r="A64" s="7" t="inlineStr">
        <is>
          <t>Legendary: Crit Dmg Bonus %</t>
        </is>
      </c>
      <c r="B64" s="7">
        <f>(SUMIFS('Legendary Values'!$D$5:$D$22,'Legendary Values'!$A$5:$A$22,B58,'Legendary Values'!$C$5:$C$22,"crit_mult_bonus")+SUMIFS('Legendary Values'!$D$5:$D$22,'Legendary Values'!$A$5:$A$22,B59,'Legendary Values'!$C$5:$C$22,"crit_mult_bonus")+SUMIFS('Legendary Values'!$D$5:$D$22,'Legendary Values'!$A$5:$A$22,B60,'Legendary Values'!$C$5:$C$22,"crit_mult_bonus")+SUMIFS('Legendary Values'!$D$5:$D$22,'Legendary Values'!$A$5:$A$22,B61,'Legendary Values'!$C$5:$C$22,"crit_mult_bonus"))</f>
        <v/>
      </c>
      <c r="C64" s="7">
        <f>(SUMIFS('Legendary Values'!$D$5:$D$22,'Legendary Values'!$A$5:$A$22,C58,'Legendary Values'!$C$5:$C$22,"crit_mult_bonus")+SUMIFS('Legendary Values'!$D$5:$D$22,'Legendary Values'!$A$5:$A$22,C59,'Legendary Values'!$C$5:$C$22,"crit_mult_bonus")+SUMIFS('Legendary Values'!$D$5:$D$22,'Legendary Values'!$A$5:$A$22,C60,'Legendary Values'!$C$5:$C$22,"crit_mult_bonus")+SUMIFS('Legendary Values'!$D$5:$D$22,'Legendary Values'!$A$5:$A$22,C61,'Legendary Values'!$C$5:$C$22,"crit_mult_bonus"))</f>
        <v/>
      </c>
      <c r="D64" s="7">
        <f>C64-B64</f>
        <v/>
      </c>
      <c r="E64" s="8">
        <f>IFERROR((C64-B64)/B64,"n/a")</f>
        <v/>
      </c>
    </row>
    <row r="65">
      <c r="A65" s="7" t="inlineStr">
        <is>
          <t>Legendary: Fire-Rate Mult Bonus %</t>
        </is>
      </c>
      <c r="B65" s="7">
        <f>(SUMIFS('Legendary Values'!$D$5:$D$22,'Legendary Values'!$A$5:$A$22,B58,'Legendary Values'!$C$5:$C$22,"firerate_mult_bonus")+SUMIFS('Legendary Values'!$D$5:$D$22,'Legendary Values'!$A$5:$A$22,B59,'Legendary Values'!$C$5:$C$22,"firerate_mult_bonus")+SUMIFS('Legendary Values'!$D$5:$D$22,'Legendary Values'!$A$5:$A$22,B60,'Legendary Values'!$C$5:$C$22,"firerate_mult_bonus")+SUMIFS('Legendary Values'!$D$5:$D$22,'Legendary Values'!$A$5:$A$22,B61,'Legendary Values'!$C$5:$C$22,"firerate_mult_bonus"))</f>
        <v/>
      </c>
      <c r="C65" s="7">
        <f>(SUMIFS('Legendary Values'!$D$5:$D$22,'Legendary Values'!$A$5:$A$22,C58,'Legendary Values'!$C$5:$C$22,"firerate_mult_bonus")+SUMIFS('Legendary Values'!$D$5:$D$22,'Legendary Values'!$A$5:$A$22,C59,'Legendary Values'!$C$5:$C$22,"firerate_mult_bonus")+SUMIFS('Legendary Values'!$D$5:$D$22,'Legendary Values'!$A$5:$A$22,C60,'Legendary Values'!$C$5:$C$22,"firerate_mult_bonus")+SUMIFS('Legendary Values'!$D$5:$D$22,'Legendary Values'!$A$5:$A$22,C61,'Legendary Values'!$C$5:$C$22,"firerate_mult_bonus"))</f>
        <v/>
      </c>
      <c r="D65" s="7">
        <f>C65-B65</f>
        <v/>
      </c>
      <c r="E65" s="8">
        <f>IFERROR((C65-B65)/B65,"n/a")</f>
        <v/>
      </c>
    </row>
    <row r="66">
      <c r="A66" s="7" t="inlineStr">
        <is>
          <t>Legendary: Reload-Time Mult Reduction %</t>
        </is>
      </c>
      <c r="B66" s="7">
        <f>(SUMIFS('Legendary Values'!$D$5:$D$22,'Legendary Values'!$A$5:$A$22,B58,'Legendary Values'!$C$5:$C$22,"reload_mult_reduction")+SUMIFS('Legendary Values'!$D$5:$D$22,'Legendary Values'!$A$5:$A$22,B59,'Legendary Values'!$C$5:$C$22,"reload_mult_reduction")+SUMIFS('Legendary Values'!$D$5:$D$22,'Legendary Values'!$A$5:$A$22,B60,'Legendary Values'!$C$5:$C$22,"reload_mult_reduction")+SUMIFS('Legendary Values'!$D$5:$D$22,'Legendary Values'!$A$5:$A$22,B61,'Legendary Values'!$C$5:$C$22,"reload_mult_reduction"))</f>
        <v/>
      </c>
      <c r="C66" s="7">
        <f>(SUMIFS('Legendary Values'!$D$5:$D$22,'Legendary Values'!$A$5:$A$22,C58,'Legendary Values'!$C$5:$C$22,"reload_mult_reduction")+SUMIFS('Legendary Values'!$D$5:$D$22,'Legendary Values'!$A$5:$A$22,C59,'Legendary Values'!$C$5:$C$22,"reload_mult_reduction")+SUMIFS('Legendary Values'!$D$5:$D$22,'Legendary Values'!$A$5:$A$22,C60,'Legendary Values'!$C$5:$C$22,"reload_mult_reduction")+SUMIFS('Legendary Values'!$D$5:$D$22,'Legendary Values'!$A$5:$A$22,C61,'Legendary Values'!$C$5:$C$22,"reload_mult_reduction"))</f>
        <v/>
      </c>
      <c r="D66" s="7">
        <f>C66-B66</f>
        <v/>
      </c>
      <c r="E66" s="8">
        <f>IFERROR((C66-B66)/B66,"n/a")</f>
        <v/>
      </c>
    </row>
    <row r="67">
      <c r="A67" s="7" t="inlineStr">
        <is>
          <t>Legendary: AP-Cost Mult Reduction %</t>
        </is>
      </c>
      <c r="B67" s="7">
        <f>(SUMIFS('Legendary Values'!$D$5:$D$22,'Legendary Values'!$A$5:$A$22,B58,'Legendary Values'!$C$5:$C$22,"apcost_mult_reduction")+SUMIFS('Legendary Values'!$D$5:$D$22,'Legendary Values'!$A$5:$A$22,B59,'Legendary Values'!$C$5:$C$22,"apcost_mult_reduction")+SUMIFS('Legendary Values'!$D$5:$D$22,'Legendary Values'!$A$5:$A$22,B60,'Legendary Values'!$C$5:$C$22,"apcost_mult_reduction")+SUMIFS('Legendary Values'!$D$5:$D$22,'Legendary Values'!$A$5:$A$22,B61,'Legendary Values'!$C$5:$C$22,"apcost_mult_reduction"))</f>
        <v/>
      </c>
      <c r="C67" s="7">
        <f>(SUMIFS('Legendary Values'!$D$5:$D$22,'Legendary Values'!$A$5:$A$22,C58,'Legendary Values'!$C$5:$C$22,"apcost_mult_reduction")+SUMIFS('Legendary Values'!$D$5:$D$22,'Legendary Values'!$A$5:$A$22,C59,'Legendary Values'!$C$5:$C$22,"apcost_mult_reduction")+SUMIFS('Legendary Values'!$D$5:$D$22,'Legendary Values'!$A$5:$A$22,C60,'Legendary Values'!$C$5:$C$22,"apcost_mult_reduction")+SUMIFS('Legendary Values'!$D$5:$D$22,'Legendary Values'!$A$5:$A$22,C61,'Legendary Values'!$C$5:$C$22,"apcost_mult_reduction"))</f>
        <v/>
      </c>
      <c r="D67" s="7">
        <f>C67-B67</f>
        <v/>
      </c>
      <c r="E67" s="8">
        <f>IFERROR((C67-B67)/B67,"n/a")</f>
        <v/>
      </c>
    </row>
    <row r="68">
      <c r="A68" s="7" t="inlineStr">
        <is>
          <t>Legendary: Magazine-Size Mult Bonus (x)</t>
        </is>
      </c>
      <c r="B68" s="7">
        <f>(SUMIFS('Legendary Values'!$D$5:$D$22,'Legendary Values'!$A$5:$A$22,B58,'Legendary Values'!$C$5:$C$22,"magsize_mult_bonus")+SUMIFS('Legendary Values'!$D$5:$D$22,'Legendary Values'!$A$5:$A$22,B59,'Legendary Values'!$C$5:$C$22,"magsize_mult_bonus")+SUMIFS('Legendary Values'!$D$5:$D$22,'Legendary Values'!$A$5:$A$22,B60,'Legendary Values'!$C$5:$C$22,"magsize_mult_bonus")+SUMIFS('Legendary Values'!$D$5:$D$22,'Legendary Values'!$A$5:$A$22,B61,'Legendary Values'!$C$5:$C$22,"magsize_mult_bonus"))</f>
        <v/>
      </c>
      <c r="C68" s="7">
        <f>(SUMIFS('Legendary Values'!$D$5:$D$22,'Legendary Values'!$A$5:$A$22,C58,'Legendary Values'!$C$5:$C$22,"magsize_mult_bonus")+SUMIFS('Legendary Values'!$D$5:$D$22,'Legendary Values'!$A$5:$A$22,C59,'Legendary Values'!$C$5:$C$22,"magsize_mult_bonus")+SUMIFS('Legendary Values'!$D$5:$D$22,'Legendary Values'!$A$5:$A$22,C60,'Legendary Values'!$C$5:$C$22,"magsize_mult_bonus")+SUMIFS('Legendary Values'!$D$5:$D$22,'Legendary Values'!$A$5:$A$22,C61,'Legendary Values'!$C$5:$C$22,"magsize_mult_bonus"))</f>
        <v/>
      </c>
      <c r="D68" s="7">
        <f>C68-B68</f>
        <v/>
      </c>
      <c r="E68" s="8">
        <f>IFERROR((C68-B68)/B68,"n/a")</f>
        <v/>
      </c>
    </row>
    <row r="69">
      <c r="A69" s="7" t="inlineStr">
        <is>
          <t>Legendary: Target DR Reduction, Multiplicative %</t>
        </is>
      </c>
      <c r="B69" s="7">
        <f>(SUMIFS('Legendary Values'!$D$5:$D$22,'Legendary Values'!$A$5:$A$22,B58,'Legendary Values'!$C$5:$C$22,"target_dr_reduction_mult")+SUMIFS('Legendary Values'!$D$5:$D$22,'Legendary Values'!$A$5:$A$22,B59,'Legendary Values'!$C$5:$C$22,"target_dr_reduction_mult")+SUMIFS('Legendary Values'!$D$5:$D$22,'Legendary Values'!$A$5:$A$22,B60,'Legendary Values'!$C$5:$C$22,"target_dr_reduction_mult")+SUMIFS('Legendary Values'!$D$5:$D$22,'Legendary Values'!$A$5:$A$22,B61,'Legendary Values'!$C$5:$C$22,"target_dr_reduction_mult"))</f>
        <v/>
      </c>
      <c r="C69" s="7">
        <f>(SUMIFS('Legendary Values'!$D$5:$D$22,'Legendary Values'!$A$5:$A$22,C58,'Legendary Values'!$C$5:$C$22,"target_dr_reduction_mult")+SUMIFS('Legendary Values'!$D$5:$D$22,'Legendary Values'!$A$5:$A$22,C59,'Legendary Values'!$C$5:$C$22,"target_dr_reduction_mult")+SUMIFS('Legendary Values'!$D$5:$D$22,'Legendary Values'!$A$5:$A$22,C60,'Legendary Values'!$C$5:$C$22,"target_dr_reduction_mult")+SUMIFS('Legendary Values'!$D$5:$D$22,'Legendary Values'!$A$5:$A$22,C61,'Legendary Values'!$C$5:$C$22,"target_dr_reduction_mult"))</f>
        <v/>
      </c>
      <c r="D69" s="7">
        <f>C69-B69</f>
        <v/>
      </c>
      <c r="E69" s="8">
        <f>IFERROR((C69-B69)/B69,"n/a")</f>
        <v/>
      </c>
    </row>
    <row r="70">
      <c r="A70" s="7" t="inlineStr">
        <is>
          <t>Total General Damage Bonus %</t>
        </is>
      </c>
      <c r="B70" s="7">
        <f>$B$27*IF($B$6&gt;0,1,0)+$B$28*$B$6+$B$30*$B$7+$B$31*MIN($B$12,20)*IF($B$16="Y",1,0)+$B$37*$B$10*IF($B$14="Y",1,0)+$B$35*IF($B$14="Y",1,0)+$B$38*MIN($B$11,10)+$B$13/100+$B$43*IF($B$20="Y",1,0)+$B$44*IF($B$8="Y",1,0)+$B$32*B77+$B$46*IF($B$15&gt;=47,1,0)+$B$47*(1-$B$17/100)+B62</f>
        <v/>
      </c>
      <c r="C70" s="7">
        <f>$B$27*IF($B$6&gt;0,1,0)+$B$28*$B$6+$B$30*$B$7+$B$31*MIN($B$12,20)*IF($B$16="Y",1,0)+$B$37*$B$10*IF($B$14="Y",1,0)+$B$35*IF($B$14="Y",1,0)+$B$38*MIN($B$11,10)+$B$13/100+$B$43*IF($B$20="Y",1,0)+$B$44*IF($B$8="Y",1,0)+$B$32*C77+$B$46*IF($B$15&gt;=47,1,0)+$B$47*(1-$B$17/100)+C62</f>
        <v/>
      </c>
      <c r="D70" s="7">
        <f>C70-B70</f>
        <v/>
      </c>
      <c r="E70" s="8">
        <f>IFERROR((C70-B70)/B70,"n/a")</f>
        <v/>
      </c>
    </row>
    <row r="71">
      <c r="A71" s="7" t="inlineStr">
        <is>
          <t>Total Weak-Spot Damage Bonus %</t>
        </is>
      </c>
      <c r="B71" s="7">
        <f>$B$33+$B$34*$B$10+$B$40+B63</f>
        <v/>
      </c>
      <c r="C71" s="7">
        <f>$B$33+$B$34*$B$10+$B$40+C63</f>
        <v/>
      </c>
      <c r="D71" s="7">
        <f>C71-B71</f>
        <v/>
      </c>
      <c r="E71" s="8">
        <f>IFERROR((C71-B71)/B71,"n/a")</f>
        <v/>
      </c>
    </row>
    <row r="72">
      <c r="A72" s="7" t="inlineStr">
        <is>
          <t>Expected Critical Multiplier (freq-weighted)</t>
        </is>
      </c>
      <c r="B72" s="7">
        <f>(1-$B$18/100)*1+($B$18/100)*(2*(1+$B$39+$B$41*IF($B$20="Y",1,0)+B64))</f>
        <v/>
      </c>
      <c r="C72" s="7">
        <f>(1-$B$18/100)*1+($B$18/100)*(2*(1+$B$39+$B$41*IF($B$20="Y",1,0)+C64))</f>
        <v/>
      </c>
      <c r="D72" s="7">
        <f>C72-B72</f>
        <v/>
      </c>
      <c r="E72" s="8">
        <f>IFERROR((C72-B72)/B72,"n/a")</f>
        <v/>
      </c>
    </row>
    <row r="73">
      <c r="A73" s="7" t="inlineStr">
        <is>
          <t>Expected Sneak Multiplier (freq-weighted)</t>
        </is>
      </c>
      <c r="B73" s="7">
        <f>(1-$B$19/100)*1+($B$19/100)*2</f>
        <v/>
      </c>
      <c r="C73" s="7">
        <f>(1-$B$19/100)*1+($B$19/100)*2</f>
        <v/>
      </c>
      <c r="D73" s="7">
        <f>C73-B73</f>
        <v/>
      </c>
      <c r="E73" s="8">
        <f>IFERROR((C73-B73)/B73,"n/a")</f>
        <v/>
      </c>
    </row>
    <row r="74">
      <c r="A74" s="7" t="inlineStr">
        <is>
          <t>Effective Magazine Size</t>
        </is>
      </c>
      <c r="B74" s="7">
        <f>B53*(1+B68)</f>
        <v/>
      </c>
      <c r="C74" s="7">
        <f>C53*(1+C68)</f>
        <v/>
      </c>
      <c r="D74" s="7">
        <f>C74-B74</f>
        <v/>
      </c>
      <c r="E74" s="8">
        <f>IFERROR((C74-B74)/B74,"n/a")</f>
        <v/>
      </c>
    </row>
    <row r="75">
      <c r="A75" s="7" t="inlineStr">
        <is>
          <t>Effective Reload Time, sec</t>
        </is>
      </c>
      <c r="B75" s="7">
        <f>B54*(1-B66)*(1-$B$36*$B$10)*(1-$B$42)</f>
        <v/>
      </c>
      <c r="C75" s="7">
        <f>C54*(1-C66)*(1-$B$36*$B$10)*(1-$B$42)</f>
        <v/>
      </c>
      <c r="D75" s="7">
        <f>C75-B75</f>
        <v/>
      </c>
      <c r="E75" s="8">
        <f>IFERROR((C75-B75)/B75,"n/a")</f>
        <v/>
      </c>
    </row>
    <row r="76">
      <c r="A76" s="7" t="inlineStr">
        <is>
          <t>Effective Fire Rate, rounds/sec</t>
        </is>
      </c>
      <c r="B76" s="7">
        <f>B55*(1+B65)</f>
        <v/>
      </c>
      <c r="C76" s="7">
        <f>C55*(1+C65)</f>
        <v/>
      </c>
      <c r="D76" s="7">
        <f>C76-B76</f>
        <v/>
      </c>
      <c r="E76" s="8">
        <f>IFERROR((C76-B76)/B76,"n/a")</f>
        <v/>
      </c>
    </row>
    <row r="77">
      <c r="A77" s="7" t="inlineStr">
        <is>
          <t>Effective AP Cost per shot</t>
        </is>
      </c>
      <c r="B77" s="7">
        <f>B56*(1-B67)</f>
        <v/>
      </c>
      <c r="C77" s="7">
        <f>C56*(1-C67)</f>
        <v/>
      </c>
      <c r="D77" s="7">
        <f>C77-B77</f>
        <v/>
      </c>
      <c r="E77" s="8">
        <f>IFERROR((C77-B77)/B77,"n/a")</f>
        <v/>
      </c>
    </row>
    <row r="78">
      <c r="A78" s="7" t="inlineStr">
        <is>
          <t>Ammo-Cycle Rate, shots/sec</t>
        </is>
      </c>
      <c r="B78" s="7">
        <f>B74/(B74/B76+B75)</f>
        <v/>
      </c>
      <c r="C78" s="7">
        <f>C74/(C74/C76+C75)</f>
        <v/>
      </c>
      <c r="D78" s="7">
        <f>C78-B78</f>
        <v/>
      </c>
      <c r="E78" s="8">
        <f>IFERROR((C78-B78)/B78,"n/a")</f>
        <v/>
      </c>
    </row>
    <row r="79">
      <c r="A79" s="7" t="inlineStr">
        <is>
          <t>AP-Cycle Rate, shots/sec</t>
        </is>
      </c>
      <c r="B79" s="7">
        <f>IF(B57="Y",IF(B77&gt;0,$B$23/B77,999999),999999)</f>
        <v/>
      </c>
      <c r="C79" s="7">
        <f>IF(C57="Y",IF(C77&gt;0,$B$23/C77,999999),999999)</f>
        <v/>
      </c>
      <c r="D79" s="7">
        <f>C79-B79</f>
        <v/>
      </c>
      <c r="E79" s="8">
        <f>IFERROR((C79-B79)/B79,"n/a")</f>
        <v/>
      </c>
    </row>
    <row r="80">
      <c r="A80" s="7" t="inlineStr">
        <is>
          <t>Effective Sustained Shots/sec</t>
        </is>
      </c>
      <c r="B80" s="7">
        <f>MIN(B78,B79)</f>
        <v/>
      </c>
      <c r="C80" s="7">
        <f>MIN(C78,C79)</f>
        <v/>
      </c>
      <c r="D80" s="7">
        <f>C80-B80</f>
        <v/>
      </c>
      <c r="E80" s="8">
        <f>IFERROR((C80-B80)/B80,"n/a")</f>
        <v/>
      </c>
    </row>
    <row r="81">
      <c r="A81" s="7" t="inlineStr">
        <is>
          <t>Expected Outgoing Damage per shot</t>
        </is>
      </c>
      <c r="B81" s="7">
        <f>B52*(1+B70+B71*$B$17/100)*B72*B73</f>
        <v/>
      </c>
      <c r="C81" s="7">
        <f>C52*(1+C70+C71*$B$17/100)*C72*C73</f>
        <v/>
      </c>
      <c r="D81" s="7">
        <f>C81-B81</f>
        <v/>
      </c>
      <c r="E81" s="8">
        <f>IFERROR((C81-B81)/B81,"n/a")</f>
        <v/>
      </c>
    </row>
    <row r="82">
      <c r="A82" s="7" t="inlineStr">
        <is>
          <t>Effective Enemy Resist</t>
        </is>
      </c>
      <c r="B82" s="7">
        <f>$B$21*(1-$B$29)*(1-B69)</f>
        <v/>
      </c>
      <c r="C82" s="7">
        <f>$B$21*(1-$B$29)*(1-C69)</f>
        <v/>
      </c>
      <c r="D82" s="7">
        <f>C82-B82</f>
        <v/>
      </c>
      <c r="E82" s="8">
        <f>IFERROR((C82-B82)/B82,"n/a")</f>
        <v/>
      </c>
    </row>
    <row r="83">
      <c r="A83" s="7" t="inlineStr">
        <is>
          <t>Damage Resist Mult</t>
        </is>
      </c>
      <c r="B83" s="7">
        <f>MAX(0.1,MIN(0.99,(B81*0.15/B82)^0.365))</f>
        <v/>
      </c>
      <c r="C83" s="7">
        <f>MAX(0.1,MIN(0.99,(C81*0.15/C82)^0.365))</f>
        <v/>
      </c>
      <c r="D83" s="7">
        <f>C83-B83</f>
        <v/>
      </c>
      <c r="E83" s="8">
        <f>IFERROR((C83-B83)/B83,"n/a")</f>
        <v/>
      </c>
    </row>
    <row r="84">
      <c r="A84" s="7" t="inlineStr">
        <is>
          <t>Expected Final Damage per shot</t>
        </is>
      </c>
      <c r="B84" s="7">
        <f>B81*B83</f>
        <v/>
      </c>
      <c r="C84" s="7">
        <f>C81*C83</f>
        <v/>
      </c>
      <c r="D84" s="7">
        <f>C84-B84</f>
        <v/>
      </c>
      <c r="E84" s="8">
        <f>IFERROR((C84-B84)/B84,"n/a")</f>
        <v/>
      </c>
    </row>
    <row r="85">
      <c r="A85" s="9" t="inlineStr">
        <is>
          <t>SUSTAINED DPS</t>
        </is>
      </c>
      <c r="B85" s="9">
        <f>B84*B80</f>
        <v/>
      </c>
      <c r="C85" s="9">
        <f>C84*C80</f>
        <v/>
      </c>
      <c r="D85" s="10">
        <f>C85-B85</f>
        <v/>
      </c>
      <c r="E85" s="11">
        <f>IFERROR((C85-B85)/B85,"n/a")</f>
        <v/>
      </c>
    </row>
    <row r="86">
      <c r="A86" s="7" t="inlineStr">
        <is>
          <t>Limb-Cripple Bonus % (Enforcer — informational, not in DPS)</t>
        </is>
      </c>
      <c r="B86" s="7">
        <f>$B$45</f>
        <v/>
      </c>
      <c r="C86" s="7">
        <f>$B$45</f>
        <v/>
      </c>
      <c r="D86" s="7">
        <f>C86-B86</f>
        <v/>
      </c>
      <c r="E86" s="8">
        <f>IFERROR((C86-B86)/B86,"n/a")</f>
        <v/>
      </c>
    </row>
  </sheetData>
  <autoFilter ref="A50:E86"/>
  <mergeCells count="1">
    <mergeCell ref="A2:E2"/>
  </mergeCells>
  <dataValidations count="2">
    <dataValidation sqref="B8 B9 B14 B16 B20 B57 C57" showDropDown="0" showInputMessage="0" showErrorMessage="0" allowBlank="0" type="list">
      <formula1>"Y,N"</formula1>
    </dataValidation>
    <dataValidation sqref="B58 B59 B60 B61 C58 C59 C60 C61" showDropDown="0" showInputMessage="0" showErrorMessage="0" allowBlank="0" type="list">
      <formula1>='Legendary Values'!$A$5:$A$22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tabSelected="0" workbookViewId="0">
      <pane ySplit="11" topLeftCell="A12" activePane="bottomLeft" state="frozen"/>
      <selection pane="bottomLeft" activeCell="A1" sqref="A1"/>
    </sheetView>
  </sheetViews>
  <sheetFormatPr baseColWidth="8" defaultRowHeight="15"/>
  <cols>
    <col width="14" customWidth="1" min="1" max="1"/>
    <col width="20" customWidth="1" min="2" max="2"/>
    <col width="24" customWidth="1" min="3" max="3"/>
    <col width="18" customWidth="1" min="4" max="4"/>
  </cols>
  <sheetData>
    <row r="1">
      <c r="A1" s="1" t="inlineStr">
        <is>
          <t>Armor &amp; DR Calculator</t>
        </is>
      </c>
    </row>
    <row r="2" ht="30" customHeight="1">
      <c r="A2" s="2" t="inlineStr">
        <is>
          <t>Fill in your armor's DR per body part (Pip-Boy &gt; Inventory &gt; Apparel). Ironclad and END (for Adamantium Skeleton) come live from 'Build Configurator'. The hit simulator uses the same Damage-Resist formula as Weapon Comparison, run in reverse for incoming hits.</t>
        </is>
      </c>
    </row>
    <row r="4">
      <c r="A4" s="5" t="inlineStr">
        <is>
          <t>Build-Derived Values (read-only)</t>
        </is>
      </c>
    </row>
    <row r="5">
      <c r="A5" s="2" t="inlineStr">
        <is>
          <t>Ironclad resistance bonus (current rank)</t>
        </is>
      </c>
      <c r="B5" s="7">
        <f>'Build Configurator'!G110</f>
        <v/>
      </c>
    </row>
    <row r="6">
      <c r="A6" s="2" t="inlineStr">
        <is>
          <t>Adamantium Skeleton equipped? (1 = yes)</t>
        </is>
      </c>
      <c r="B6" s="7">
        <f>'Build Configurator'!G93</f>
        <v/>
      </c>
    </row>
    <row r="7">
      <c r="A7" s="2" t="inlineStr">
        <is>
          <t>Your END (for Adamantium Skeleton scaling)</t>
        </is>
      </c>
      <c r="B7" s="7">
        <f>'Build Configurator'!B10</f>
        <v/>
      </c>
    </row>
    <row r="8">
      <c r="A8" s="2" t="inlineStr">
        <is>
          <t>Adamantium Skeleton limb-DR %, interpolated END1-&gt;10% / END15-&gt;35%</t>
        </is>
      </c>
      <c r="B8" s="7">
        <f>IF(B6=1,0.10+(0.35-0.10)/(15-1)*(B7-1),0)</f>
        <v/>
      </c>
    </row>
    <row r="10">
      <c r="A10" s="5" t="inlineStr">
        <is>
          <t>Your Armor, by Body Part</t>
        </is>
      </c>
    </row>
    <row r="11">
      <c r="A11" s="6" t="inlineStr">
        <is>
          <t>Body Part</t>
        </is>
      </c>
      <c r="B11" s="6" t="inlineStr">
        <is>
          <t>Armor Piece DR (input)</t>
        </is>
      </c>
      <c r="C11" s="6" t="inlineStr">
        <is>
          <t>5-Piece Matching Set? (Y/N)</t>
        </is>
      </c>
      <c r="D11" s="6" t="inlineStr">
        <is>
          <t>Total Effective DR</t>
        </is>
      </c>
    </row>
    <row r="12">
      <c r="A12" s="7" t="inlineStr">
        <is>
          <t>Head</t>
        </is>
      </c>
      <c r="B12" s="4" t="n">
        <v>150</v>
      </c>
      <c r="C12" s="4" t="inlineStr">
        <is>
          <t>Y</t>
        </is>
      </c>
      <c r="D12" s="7">
        <f>B12*(1+$B$5*IF(C12="Y",2,1))</f>
        <v/>
      </c>
    </row>
    <row r="13">
      <c r="A13" s="7" t="inlineStr">
        <is>
          <t>Torso</t>
        </is>
      </c>
      <c r="B13" s="4" t="n">
        <v>150</v>
      </c>
      <c r="C13" s="4" t="inlineStr">
        <is>
          <t>Y</t>
        </is>
      </c>
      <c r="D13" s="7">
        <f>B13*(1+$B$5*IF(C13="Y",2,1))</f>
        <v/>
      </c>
    </row>
    <row r="14">
      <c r="A14" s="7" t="inlineStr">
        <is>
          <t>Left Arm</t>
        </is>
      </c>
      <c r="B14" s="4" t="n">
        <v>150</v>
      </c>
      <c r="C14" s="4" t="inlineStr">
        <is>
          <t>Y</t>
        </is>
      </c>
      <c r="D14" s="7">
        <f>B14*(1+$B$5*IF(C14="Y",2,1))</f>
        <v/>
      </c>
    </row>
    <row r="15">
      <c r="A15" s="7" t="inlineStr">
        <is>
          <t>Right Arm</t>
        </is>
      </c>
      <c r="B15" s="4" t="n">
        <v>150</v>
      </c>
      <c r="C15" s="4" t="inlineStr">
        <is>
          <t>Y</t>
        </is>
      </c>
      <c r="D15" s="7">
        <f>B15*(1+$B$5*IF(C15="Y",2,1))</f>
        <v/>
      </c>
    </row>
    <row r="16">
      <c r="A16" s="7" t="inlineStr">
        <is>
          <t>Left Leg</t>
        </is>
      </c>
      <c r="B16" s="4" t="n">
        <v>150</v>
      </c>
      <c r="C16" s="4" t="inlineStr">
        <is>
          <t>Y</t>
        </is>
      </c>
      <c r="D16" s="7">
        <f>B16*(1+$B$5*IF(C16="Y",2,1))</f>
        <v/>
      </c>
    </row>
    <row r="17">
      <c r="A17" s="7" t="inlineStr">
        <is>
          <t>Right Leg</t>
        </is>
      </c>
      <c r="B17" s="4" t="n">
        <v>150</v>
      </c>
      <c r="C17" s="4" t="inlineStr">
        <is>
          <t>Y</t>
        </is>
      </c>
      <c r="D17" s="7">
        <f>B17*(1+$B$5*IF(C17="Y",2,1))</f>
        <v/>
      </c>
    </row>
    <row r="19" ht="45" customHeight="1">
      <c r="A19" s="2" t="inlineStr">
        <is>
          <t>Ironclad and the 5-piece-match doubling come from Build Configurator automatically. Limb-specific armor pieces also benefit from Adamantium Skeleton (B8 above) and any Strengthened/Adamantium legendary mods on that piece — add those manually to this sheet if you use them, since they are per-mod rather than build-wide.</t>
        </is>
      </c>
    </row>
    <row r="21">
      <c r="A21" s="5" t="inlineStr">
        <is>
          <t>Incoming Hit Simulator</t>
        </is>
      </c>
    </row>
    <row r="22">
      <c r="A22" t="inlineStr">
        <is>
          <t>Incoming Raw Damage (input)</t>
        </is>
      </c>
      <c r="B22" s="4" t="n">
        <v>50</v>
      </c>
    </row>
    <row r="23">
      <c r="A23" t="inlineStr">
        <is>
          <t>Body Part Hit (input)</t>
        </is>
      </c>
      <c r="B23" s="4" t="inlineStr">
        <is>
          <t>Torso</t>
        </is>
      </c>
    </row>
    <row r="24">
      <c r="A24" t="inlineStr">
        <is>
          <t>Your Effective DR for that Body Part</t>
        </is>
      </c>
      <c r="B24" s="7">
        <f>VLOOKUP(B23,A12:D17,4,FALSE)</f>
        <v/>
      </c>
    </row>
    <row r="25">
      <c r="A25" t="inlineStr">
        <is>
          <t>Damage Resist Mult (fraction of the hit that gets through)</t>
        </is>
      </c>
      <c r="B25" s="7">
        <f>MAX(0.1,MIN(0.99,(B22*0.15/B24)^0.365))</f>
        <v/>
      </c>
    </row>
    <row r="26">
      <c r="A26" t="inlineStr">
        <is>
          <t>Final Damage Taken</t>
        </is>
      </c>
      <c r="B26" s="7">
        <f>B22*B25</f>
        <v/>
      </c>
    </row>
    <row r="27">
      <c r="A27" t="inlineStr">
        <is>
          <t>% of Hit Mitigated</t>
        </is>
      </c>
      <c r="B27" s="8">
        <f>1-B25</f>
        <v/>
      </c>
    </row>
  </sheetData>
  <autoFilter ref="A11:D17"/>
  <mergeCells count="3">
    <mergeCell ref="A2:F2"/>
    <mergeCell ref="A5"/>
    <mergeCell ref="A19:D19"/>
  </mergeCells>
  <dataValidations count="2">
    <dataValidation sqref="C12 C13 C14 C15 C16 C17" showDropDown="0" showInputMessage="0" showErrorMessage="0" allowBlank="0" type="list">
      <formula1>"Y,N"</formula1>
    </dataValidation>
    <dataValidation sqref="B23" showDropDown="0" showInputMessage="0" showErrorMessage="0" allowBlank="0" type="list">
      <formula1>"Head,Torso,Left Arm,Right Arm,Left Leg,Right Leg"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7"/>
  <sheetViews>
    <sheetView tabSelected="0" workbookViewId="0">
      <pane ySplit="4" topLeftCell="A5" activePane="bottomLeft" state="frozen"/>
      <selection pane="bottomLeft" activeCell="A1" sqref="A1"/>
    </sheetView>
  </sheetViews>
  <sheetFormatPr baseColWidth="8" defaultRowHeight="15"/>
  <cols>
    <col width="22" customWidth="1" min="1" max="1"/>
    <col width="9" customWidth="1" min="2" max="2"/>
    <col width="50" customWidth="1" min="3" max="3"/>
    <col width="48" customWidth="1" min="4" max="4"/>
    <col width="13" customWidth="1" min="5" max="5"/>
    <col width="46" customWidth="1" min="6" max="6"/>
  </cols>
  <sheetData>
    <row r="1">
      <c r="A1" s="1" t="inlineStr">
        <is>
          <t>Perk Cards — every standard perk card in the game (243), researched Oct 2026</t>
        </is>
      </c>
    </row>
    <row r="2" ht="30" customHeight="1">
      <c r="A2" s="2" t="inlineStr">
        <is>
          <t>~30 of these feed live formulas in Weapon Comparison / Armor &amp; DR Calculator (see 'Perk Values' for which). The rest are catalogued for completeness — point cost is still tracked correctly in Build Configurator even for perks that don't move any calculator number.</t>
        </is>
      </c>
    </row>
    <row r="4">
      <c r="A4" s="6" t="inlineStr">
        <is>
          <t>Perk</t>
        </is>
      </c>
      <c r="B4" s="6" t="inlineStr">
        <is>
          <t>SPECIAL</t>
        </is>
      </c>
      <c r="C4" s="6" t="inlineStr">
        <is>
          <t>Effect</t>
        </is>
      </c>
      <c r="D4" s="6" t="inlineStr">
        <is>
          <t>Values by Rank</t>
        </is>
      </c>
      <c r="E4" s="6" t="inlineStr">
        <is>
          <t>Confidence</t>
        </is>
      </c>
      <c r="F4" s="6" t="inlineStr">
        <is>
          <t>Source</t>
        </is>
      </c>
    </row>
    <row r="5">
      <c r="A5" s="12" t="inlineStr">
        <is>
          <t>Arms Keeper</t>
        </is>
      </c>
      <c r="B5" s="12" t="inlineStr">
        <is>
          <t>STR</t>
        </is>
      </c>
      <c r="C5" s="12" t="inlineStr">
        <is>
          <t>Weapons weigh less</t>
        </is>
      </c>
      <c r="D5" s="12" t="inlineStr">
        <is>
          <t>-50% / -75%</t>
        </is>
      </c>
      <c r="E5" s="12" t="inlineStr">
        <is>
          <t>Likely</t>
        </is>
      </c>
      <c r="F5" s="12" t="inlineStr">
        <is>
          <t>fallout.wiki - Fallout 76 Perks (Strength section)</t>
        </is>
      </c>
    </row>
    <row r="6">
      <c r="A6" s="12" t="inlineStr">
        <is>
          <t>Bandolier</t>
        </is>
      </c>
      <c r="B6" s="12" t="inlineStr">
        <is>
          <t>STR</t>
        </is>
      </c>
      <c r="C6" s="12" t="inlineStr">
        <is>
          <t>Ballistic ammo weighs less</t>
        </is>
      </c>
      <c r="D6" s="12" t="inlineStr">
        <is>
          <t>-45% / -90%</t>
        </is>
      </c>
      <c r="E6" s="12" t="inlineStr">
        <is>
          <t>Likely</t>
        </is>
      </c>
      <c r="F6" s="12" t="inlineStr">
        <is>
          <t>fallout.wiki - Fallout 76 Perks (Strength section)</t>
        </is>
      </c>
    </row>
    <row r="7">
      <c r="A7" s="12" t="inlineStr">
        <is>
          <t>Barbarian</t>
        </is>
      </c>
      <c r="B7" s="12" t="inlineStr">
        <is>
          <t>STR</t>
        </is>
      </c>
      <c r="C7" s="12" t="inlineStr">
        <is>
          <t>Damage Resistance based on STR, doubled when not wearing armor (non-linear scaling, reworked from old flat +2/3/4 DR per STR in 3 ranks)</t>
        </is>
      </c>
      <c r="D7" s="12" t="inlineStr">
        <is>
          <t>~+18 DR at 1 STR, ~+61 at 15 STR, ~+96 at 30 STR, ~+175 at 100 STR (doubled unarmored); non-linear curve, not a simple per-point multiplier</t>
        </is>
      </c>
      <c r="E7" s="12" t="inlineStr">
        <is>
          <t>Likely</t>
        </is>
      </c>
      <c r="F7" s="12" t="inlineStr">
        <is>
          <t>fallout.wiki - Barbarian (Fallout 76); cross-checked via WebSearch (post-Update 58 rework)</t>
        </is>
      </c>
    </row>
    <row r="8">
      <c r="A8" s="12" t="inlineStr">
        <is>
          <t>Basher</t>
        </is>
      </c>
      <c r="B8" s="12" t="inlineStr">
        <is>
          <t>STR</t>
        </is>
      </c>
      <c r="C8" s="12" t="inlineStr">
        <is>
          <t>Gun bashing deals more damage and limb damage</t>
        </is>
      </c>
      <c r="D8" s="12" t="inlineStr">
        <is>
          <t>+25% dmg / +35% limb dmg / +50% dmg / +75% limb dmg</t>
        </is>
      </c>
      <c r="E8" s="12" t="inlineStr">
        <is>
          <t>Likely</t>
        </is>
      </c>
      <c r="F8" s="12" t="inlineStr">
        <is>
          <t>fallout.wiki - Fallout 76 Perks (Strength section)</t>
        </is>
      </c>
    </row>
    <row r="9">
      <c r="A9" s="12" t="inlineStr">
        <is>
          <t>Bear Arms</t>
        </is>
      </c>
      <c r="B9" s="12" t="inlineStr">
        <is>
          <t>STR</t>
        </is>
      </c>
      <c r="C9" s="12" t="inlineStr">
        <is>
          <t>Gun bashing damage increases per Bullet Storm stack</t>
        </is>
      </c>
      <c r="D9" s="12" t="inlineStr">
        <is>
          <t>+5% bash damage per Bullet Storm stack</t>
        </is>
      </c>
      <c r="E9" s="12" t="inlineStr">
        <is>
          <t>Likely</t>
        </is>
      </c>
      <c r="F9" s="12" t="inlineStr">
        <is>
          <t>fallout.wiki - Fallout 76 Perks (Strength section); nukaknights.com Patch 62 changelog</t>
        </is>
      </c>
    </row>
    <row r="10">
      <c r="A10" s="12" t="inlineStr">
        <is>
          <t>Blocker</t>
        </is>
      </c>
      <c r="B10" s="12" t="inlineStr">
        <is>
          <t>STR</t>
        </is>
      </c>
      <c r="C10" s="12" t="inlineStr">
        <is>
          <t>Block more incoming melee damage</t>
        </is>
      </c>
      <c r="D10" s="12" t="inlineStr">
        <is>
          <t>-15% / -20% / -25%</t>
        </is>
      </c>
      <c r="E10" s="12" t="inlineStr">
        <is>
          <t>Likely</t>
        </is>
      </c>
      <c r="F10" s="12" t="inlineStr">
        <is>
          <t>fallout.wiki - Fallout 76 Perks (Strength section)</t>
        </is>
      </c>
    </row>
    <row r="11">
      <c r="A11" s="12" t="inlineStr">
        <is>
          <t>Blood Luster</t>
        </is>
      </c>
      <c r="B11" s="12" t="inlineStr">
        <is>
          <t>STR</t>
        </is>
      </c>
      <c r="C11" s="12" t="inlineStr">
        <is>
          <t>Bleed effects deal more damage but last less time (formerly Gladiator Master)</t>
        </is>
      </c>
      <c r="D11" s="12" t="inlineStr">
        <is>
          <t>+35% bleed damage, -25% bleed duration</t>
        </is>
      </c>
      <c r="E11" s="12" t="inlineStr">
        <is>
          <t>Confirmed</t>
        </is>
      </c>
      <c r="F11" s="12" t="inlineStr">
        <is>
          <t>nukaknights.com Patch 62 changelog (Gladiator Master -&gt; Blood Luster); fallout.wiki section fetch</t>
        </is>
      </c>
    </row>
    <row r="12">
      <c r="A12" s="12" t="inlineStr">
        <is>
          <t>Bringing the Big Guns</t>
        </is>
      </c>
      <c r="B12" s="12" t="inlineStr">
        <is>
          <t>STR</t>
        </is>
      </c>
      <c r="C12" s="12" t="inlineStr">
        <is>
          <t>Doubles the maximum Bullet Storm stack limit (formerly Heavy Gunner Master)</t>
        </is>
      </c>
      <c r="D12" s="12" t="inlineStr">
        <is>
          <t>Bullet Storm max stacks doubled (10 -&gt; 20)</t>
        </is>
      </c>
      <c r="E12" s="12" t="inlineStr">
        <is>
          <t>Confirmed</t>
        </is>
      </c>
      <c r="F12" s="12" t="inlineStr">
        <is>
          <t>nukaknights.com Patch 62 changelog (Heavy Gunner Master -&gt; Bringing the Big Guns)</t>
        </is>
      </c>
    </row>
    <row r="13">
      <c r="A13" s="12" t="inlineStr">
        <is>
          <t>Bullet Storm</t>
        </is>
      </c>
      <c r="B13" s="12" t="inlineStr">
        <is>
          <t>STR</t>
        </is>
      </c>
      <c r="C13" s="12" t="inlineStr">
        <is>
          <t>Gain stacking ranged damage per ammo spent (formerly Heavy Gunner); replaces old flat heavy-weapon damage %. Stacks lost on reload or weapon switch</t>
        </is>
      </c>
      <c r="D13" s="12" t="inlineStr">
        <is>
          <t>+3% dmg per 30 ammo spent, 10 max stacks / +6% dmg per 30 ammo spent, 10 max stacks / +9% dmg per 30 ammo spent, 10 max stacks</t>
        </is>
      </c>
      <c r="E13" s="12" t="inlineStr">
        <is>
          <t>Confirmed</t>
        </is>
      </c>
      <c r="F13" s="12" t="inlineStr">
        <is>
          <t>nukaknights.com Patch 62 changelog; fallout.wiki section fetch; WebSearch cross-check</t>
        </is>
      </c>
    </row>
    <row r="14">
      <c r="A14" s="12" t="inlineStr">
        <is>
          <t>Easy Target</t>
        </is>
      </c>
      <c r="B14" s="12" t="inlineStr">
        <is>
          <t>STR</t>
        </is>
      </c>
      <c r="C14" s="12" t="inlineStr">
        <is>
          <t>Ranged damage bonus vs crippled targets (formerly Shotgunner)</t>
        </is>
      </c>
      <c r="D14" s="12" t="inlineStr">
        <is>
          <t>+25% / +50% / +75%</t>
        </is>
      </c>
      <c r="E14" s="12" t="inlineStr">
        <is>
          <t>Confirmed</t>
        </is>
      </c>
      <c r="F14" s="12" t="inlineStr">
        <is>
          <t>fallout.wiki - Easy Target (individually verified page); WebSearch cross-check (Shotgunner rename)</t>
        </is>
      </c>
    </row>
    <row r="15">
      <c r="A15" s="12" t="inlineStr">
        <is>
          <t>Full Charge</t>
        </is>
      </c>
      <c r="B15" s="12" t="inlineStr">
        <is>
          <t>STR</t>
        </is>
      </c>
      <c r="C15" s="12" t="inlineStr">
        <is>
          <t>Power Armor sprinting uses less Fusion Core energy</t>
        </is>
      </c>
      <c r="D15" s="12" t="inlineStr">
        <is>
          <t>-50% drain / no extra drain</t>
        </is>
      </c>
      <c r="E15" s="12" t="inlineStr">
        <is>
          <t>Likely</t>
        </is>
      </c>
      <c r="F15" s="12" t="inlineStr">
        <is>
          <t>fallout.wiki - Fallout 76 Perks (Strength section)</t>
        </is>
      </c>
    </row>
    <row r="16">
      <c r="A16" s="12" t="inlineStr">
        <is>
          <t>Heavy Hitter</t>
        </is>
      </c>
      <c r="B16" s="12" t="inlineStr">
        <is>
          <t>STR</t>
        </is>
      </c>
      <c r="C16" s="12" t="inlineStr">
        <is>
          <t>Melee power attacks deal more damage (formerly Slugger Master)</t>
        </is>
      </c>
      <c r="D16" s="12" t="inlineStr">
        <is>
          <t>+25% power attack damage (no power tools)</t>
        </is>
      </c>
      <c r="E16" s="12" t="inlineStr">
        <is>
          <t>Confirmed</t>
        </is>
      </c>
      <c r="F16" s="12" t="inlineStr">
        <is>
          <t>nukaknights.com Patch 62 changelog (Slugger Master -&gt; Heavy Hitter)</t>
        </is>
      </c>
    </row>
    <row r="17">
      <c r="A17" s="12" t="inlineStr">
        <is>
          <t>Incisor</t>
        </is>
      </c>
      <c r="B17" s="12" t="inlineStr">
        <is>
          <t>STR</t>
        </is>
      </c>
      <c r="C17" s="12" t="inlineStr">
        <is>
          <t>Melee attacks ignore target armor</t>
        </is>
      </c>
      <c r="D17" s="12" t="inlineStr">
        <is>
          <t>-25% / -50% / -75%</t>
        </is>
      </c>
      <c r="E17" s="12" t="inlineStr">
        <is>
          <t>Likely</t>
        </is>
      </c>
      <c r="F17" s="12" t="inlineStr">
        <is>
          <t>fallout.wiki - Fallout 76 Perks (Strength section)</t>
        </is>
      </c>
    </row>
    <row r="18">
      <c r="A18" s="12" t="inlineStr">
        <is>
          <t>Iron Fist</t>
        </is>
      </c>
      <c r="B18" s="12" t="inlineStr">
        <is>
          <t>STR</t>
        </is>
      </c>
      <c r="C18" s="12" t="inlineStr">
        <is>
          <t>Unarmed/fist damage scales with your own Damage Resistance (reworked from old flat 3-rank % version)</t>
        </is>
      </c>
      <c r="D18" s="12" t="inlineStr">
        <is>
          <t>+1% unarmed damage per 10 DR, capped at +100% at 1000 DR</t>
        </is>
      </c>
      <c r="E18" s="12" t="inlineStr">
        <is>
          <t>Confirmed</t>
        </is>
      </c>
      <c r="F18" s="12" t="inlineStr">
        <is>
          <t>fallout.wiki - Iron Fist (Fallout 76), individually verified</t>
        </is>
      </c>
    </row>
    <row r="19">
      <c r="A19" s="12" t="inlineStr">
        <is>
          <t>Knee-Capper</t>
        </is>
      </c>
      <c r="B19" s="12" t="inlineStr">
        <is>
          <t>STR</t>
        </is>
      </c>
      <c r="C19" s="12" t="inlineStr">
        <is>
          <t>Melee weapons deal more limb damage (formerly Slugger Expert, blunt weapons, no power tools)</t>
        </is>
      </c>
      <c r="D19" s="12" t="inlineStr">
        <is>
          <t>+50% limb damage (blunt melee, no power tools)</t>
        </is>
      </c>
      <c r="E19" s="12" t="inlineStr">
        <is>
          <t>Confirmed</t>
        </is>
      </c>
      <c r="F19" s="12" t="inlineStr">
        <is>
          <t>nukaknights.com Patch 62 changelog (Slugger Expert -&gt; Knee-Capper)</t>
        </is>
      </c>
    </row>
    <row r="20">
      <c r="A20" s="12" t="inlineStr">
        <is>
          <t>Lock and Load</t>
        </is>
      </c>
      <c r="B20" s="12" t="inlineStr">
        <is>
          <t>STR</t>
        </is>
      </c>
      <c r="C20" s="12" t="inlineStr">
        <is>
          <t>Keep Bullet Storm stacks on reload and gain reload speed per stack</t>
        </is>
      </c>
      <c r="D20" s="12" t="inlineStr">
        <is>
          <t>Keep half Bullet Storm stacks on reload; +1% reload speed per stack</t>
        </is>
      </c>
      <c r="E20" s="12" t="inlineStr">
        <is>
          <t>Confirmed</t>
        </is>
      </c>
      <c r="F20" s="12" t="inlineStr">
        <is>
          <t>nukaknights.com Patch 62 changelog; fallout.wiki section fetch</t>
        </is>
      </c>
    </row>
    <row r="21">
      <c r="A21" s="12" t="inlineStr">
        <is>
          <t>Love the Spread</t>
        </is>
      </c>
      <c r="B21" s="12" t="inlineStr">
        <is>
          <t>STR</t>
        </is>
      </c>
      <c r="C21" s="12" t="inlineStr">
        <is>
          <t>Multi-projectile weapons (shotguns) fire with increased range</t>
        </is>
      </c>
      <c r="D21" s="12" t="inlineStr">
        <is>
          <t>+30% range for multi-projectile weapons</t>
        </is>
      </c>
      <c r="E21" s="12" t="inlineStr">
        <is>
          <t>Likely</t>
        </is>
      </c>
      <c r="F21" s="12" t="inlineStr">
        <is>
          <t>fallout.wiki - Fallout 76 Perks (Strength section)</t>
        </is>
      </c>
    </row>
    <row r="22">
      <c r="A22" s="12" t="inlineStr">
        <is>
          <t>Martial Artist</t>
        </is>
      </c>
      <c r="B22" s="12" t="inlineStr">
        <is>
          <t>STR</t>
        </is>
      </c>
      <c r="C22" s="12" t="inlineStr">
        <is>
          <t>Melee weapons weigh less and swing faster</t>
        </is>
      </c>
      <c r="D22" s="12" t="inlineStr">
        <is>
          <t>-20% weight / +10% swing speed / -40% weight / +20% swing speed / -60% weight / +30% swing speed</t>
        </is>
      </c>
      <c r="E22" s="12" t="inlineStr">
        <is>
          <t>Confirmed</t>
        </is>
      </c>
      <c r="F22" s="12" t="inlineStr">
        <is>
          <t>fallout.wiki - Martial Artist, individually verified</t>
        </is>
      </c>
    </row>
    <row r="23">
      <c r="A23" s="12" t="inlineStr">
        <is>
          <t>Natural Stance</t>
        </is>
      </c>
      <c r="B23" s="12" t="inlineStr">
        <is>
          <t>STR</t>
        </is>
      </c>
      <c r="C23" s="12" t="inlineStr">
        <is>
          <t>Reduce incoming stagger while a melee weapon is equipped (formerly Gladiator Expert)</t>
        </is>
      </c>
      <c r="D23" s="12" t="inlineStr">
        <is>
          <t>-25% incoming stagger with melee weapon equipped</t>
        </is>
      </c>
      <c r="E23" s="12" t="inlineStr">
        <is>
          <t>Confirmed</t>
        </is>
      </c>
      <c r="F23" s="12" t="inlineStr">
        <is>
          <t>nukaknights.com Patch 62 changelog (Gladiator Expert -&gt; Natural Stance)</t>
        </is>
      </c>
    </row>
    <row r="24">
      <c r="A24" s="12" t="inlineStr">
        <is>
          <t>Ordnance Express</t>
        </is>
      </c>
      <c r="B24" s="12" t="inlineStr">
        <is>
          <t>STR</t>
        </is>
      </c>
      <c r="C24" s="12" t="inlineStr">
        <is>
          <t>Explosives weigh less</t>
        </is>
      </c>
      <c r="D24" s="12" t="inlineStr">
        <is>
          <t>-45% / -90%</t>
        </is>
      </c>
      <c r="E24" s="12" t="inlineStr">
        <is>
          <t>Likely</t>
        </is>
      </c>
      <c r="F24" s="12" t="inlineStr">
        <is>
          <t>fallout.wiki - Fallout 76 Perks (Strength section)</t>
        </is>
      </c>
    </row>
    <row r="25">
      <c r="A25" s="12" t="inlineStr">
        <is>
          <t>Pack Rat</t>
        </is>
      </c>
      <c r="B25" s="12" t="inlineStr">
        <is>
          <t>STR</t>
        </is>
      </c>
      <c r="C25" s="12" t="inlineStr">
        <is>
          <t>Junk weighs less</t>
        </is>
      </c>
      <c r="D25" s="12" t="inlineStr">
        <is>
          <t>-50% / -75%</t>
        </is>
      </c>
      <c r="E25" s="12" t="inlineStr">
        <is>
          <t>Likely</t>
        </is>
      </c>
      <c r="F25" s="12" t="inlineStr">
        <is>
          <t>fallout.wiki - Fallout 76 Perks (Strength section)</t>
        </is>
      </c>
    </row>
    <row r="26">
      <c r="A26" s="12" t="inlineStr">
        <is>
          <t>Pain Train</t>
        </is>
      </c>
      <c r="B26" s="12" t="inlineStr">
        <is>
          <t>STR</t>
        </is>
      </c>
      <c r="C26" s="12" t="inlineStr">
        <is>
          <t>Damage and stagger enemies by sprint-charging into them in Power Armor; counts as unarmed damage, scales per rank</t>
        </is>
      </c>
      <c r="D26" s="12" t="inlineStr">
        <is>
          <t>base PA charge damage/stagger, rank-scaled (exact numbers not published) / increased over rank 1 / increased over rank 2</t>
        </is>
      </c>
      <c r="E26" s="12" t="inlineStr">
        <is>
          <t>Likely</t>
        </is>
      </c>
      <c r="F26" s="12" t="inlineStr">
        <is>
          <t>fallout.wiki section fetch; nukaknights.com PTS July 2025 preview</t>
        </is>
      </c>
    </row>
    <row r="27">
      <c r="A27" s="12" t="inlineStr">
        <is>
          <t>Portable Power</t>
        </is>
      </c>
      <c r="B27" s="12" t="inlineStr">
        <is>
          <t>STR</t>
        </is>
      </c>
      <c r="C27" s="12" t="inlineStr">
        <is>
          <t>Movement speed increase while in Power Armor</t>
        </is>
      </c>
      <c r="D27" s="12" t="inlineStr">
        <is>
          <t>+10% / +20% / +30%</t>
        </is>
      </c>
      <c r="E27" s="12" t="inlineStr">
        <is>
          <t>Likely</t>
        </is>
      </c>
      <c r="F27" s="12" t="inlineStr">
        <is>
          <t>fallout.wiki - Fallout 76 Perks (Strength section)</t>
        </is>
      </c>
    </row>
    <row r="28">
      <c r="A28" s="12" t="inlineStr">
        <is>
          <t>Scattershot</t>
        </is>
      </c>
      <c r="B28" s="12" t="inlineStr">
        <is>
          <t>STR</t>
        </is>
      </c>
      <c r="C28" s="12" t="inlineStr">
        <is>
          <t>A portion of limb damage is applied to all limbs</t>
        </is>
      </c>
      <c r="D28" s="12" t="inlineStr">
        <is>
          <t>20% of limb damage applied to all limbs</t>
        </is>
      </c>
      <c r="E28" s="12" t="inlineStr">
        <is>
          <t>Likely</t>
        </is>
      </c>
      <c r="F28" s="12" t="inlineStr">
        <is>
          <t>fallout.wiki - Fallout 76 Perks (Strength section)</t>
        </is>
      </c>
    </row>
    <row r="29">
      <c r="A29" s="12" t="inlineStr">
        <is>
          <t>Shotgun Champ</t>
        </is>
      </c>
      <c r="B29" s="12" t="inlineStr">
        <is>
          <t>STR</t>
        </is>
      </c>
      <c r="C29" s="12" t="inlineStr">
        <is>
          <t>Each projectile fired adds damage to crippled targets (shotgun-specific stacking)</t>
        </is>
      </c>
      <c r="D29" s="12" t="inlineStr">
        <is>
          <t>+10% damage to crippled targets per projectile fired (single shotgun blast)</t>
        </is>
      </c>
      <c r="E29" s="12" t="inlineStr">
        <is>
          <t>Likely</t>
        </is>
      </c>
      <c r="F29" s="12" t="inlineStr">
        <is>
          <t>fallout.wiki - Fallout 76 Perks (Strength section)</t>
        </is>
      </c>
    </row>
    <row r="30">
      <c r="A30" s="12" t="inlineStr">
        <is>
          <t>Slugger</t>
        </is>
      </c>
      <c r="B30" s="12" t="inlineStr">
        <is>
          <t>STR</t>
        </is>
      </c>
      <c r="C30" s="12" t="inlineStr">
        <is>
          <t>Melee weapons deal more damage to crippled targets (reworked in place from old flat two-handed melee damage %)</t>
        </is>
      </c>
      <c r="D30" s="12" t="inlineStr">
        <is>
          <t>+10% / +20% / +30%</t>
        </is>
      </c>
      <c r="E30" s="12" t="inlineStr">
        <is>
          <t>Confirmed</t>
        </is>
      </c>
      <c r="F30" s="12" t="inlineStr">
        <is>
          <t>nukaknights.com PTS July 2025 / Patch 62 changelog; fallout.wiki section fetch</t>
        </is>
      </c>
    </row>
    <row r="31">
      <c r="A31" s="12" t="inlineStr">
        <is>
          <t>Strong Arm</t>
        </is>
      </c>
      <c r="B31" s="12" t="inlineStr">
        <is>
          <t>STR</t>
        </is>
      </c>
      <c r="C31" s="12" t="inlineStr">
        <is>
          <t>Thrown weapons fly further (formerly Perception's "Fire in the Hole", moved to Strength)</t>
        </is>
      </c>
      <c r="D31" s="12" t="inlineStr">
        <is>
          <t>+50% throwing range</t>
        </is>
      </c>
      <c r="E31" s="12" t="inlineStr">
        <is>
          <t>Confirmed</t>
        </is>
      </c>
      <c r="F31" s="12" t="inlineStr">
        <is>
          <t>nukaknights.com Patch 62 changelog (Fire in the Hole -&gt; Strong Arm, moved from Perception)</t>
        </is>
      </c>
    </row>
    <row r="32">
      <c r="A32" s="12" t="inlineStr">
        <is>
          <t>Strong Back</t>
        </is>
      </c>
      <c r="B32" s="12" t="inlineStr">
        <is>
          <t>STR</t>
        </is>
      </c>
      <c r="C32" s="12" t="inlineStr">
        <is>
          <t>Carry weight bonus based on STR</t>
        </is>
      </c>
      <c r="D32" s="12" t="inlineStr">
        <is>
          <t>formula-based, scales with STR (rank 1) / formula-based, scales with STR (rank 2, higher)</t>
        </is>
      </c>
      <c r="E32" s="12" t="inlineStr">
        <is>
          <t>Likely</t>
        </is>
      </c>
      <c r="F32" s="12" t="inlineStr">
        <is>
          <t>fallout.wiki - Fallout 76 Perks (Strength section)</t>
        </is>
      </c>
    </row>
    <row r="33">
      <c r="A33" s="12" t="inlineStr">
        <is>
          <t>Sturdy Frame</t>
        </is>
      </c>
      <c r="B33" s="12" t="inlineStr">
        <is>
          <t>STR</t>
        </is>
      </c>
      <c r="C33" s="12" t="inlineStr">
        <is>
          <t>Harder to stagger</t>
        </is>
      </c>
      <c r="D33" s="12" t="inlineStr">
        <is>
          <t>+25% harder to stagger / +50% harder to stagger</t>
        </is>
      </c>
      <c r="E33" s="12" t="inlineStr">
        <is>
          <t>Likely</t>
        </is>
      </c>
      <c r="F33" s="12" t="inlineStr">
        <is>
          <t>fallout.wiki - Fallout 76 Perks (Strength section)</t>
        </is>
      </c>
    </row>
    <row r="34">
      <c r="A34" s="12" t="inlineStr">
        <is>
          <t>Tightly Wound</t>
        </is>
      </c>
      <c r="B34" s="12" t="inlineStr">
        <is>
          <t>STR</t>
        </is>
      </c>
      <c r="C34" s="12" t="inlineStr">
        <is>
          <t>Heavy weapons spin up (rev) faster (formerly Heavy Gunner Expert)</t>
        </is>
      </c>
      <c r="D34" s="12" t="inlineStr">
        <is>
          <t>+60% faster weapon spin-up</t>
        </is>
      </c>
      <c r="E34" s="12" t="inlineStr">
        <is>
          <t>Confirmed</t>
        </is>
      </c>
      <c r="F34" s="12" t="inlineStr">
        <is>
          <t>nukaknights.com Patch 62 changelog (Heavy Gunner Expert -&gt; Tightly Wound)</t>
        </is>
      </c>
    </row>
    <row r="35">
      <c r="A35" s="12" t="inlineStr">
        <is>
          <t>Traveling Pharmacy</t>
        </is>
      </c>
      <c r="B35" s="12" t="inlineStr">
        <is>
          <t>STR</t>
        </is>
      </c>
      <c r="C35" s="12" t="inlineStr">
        <is>
          <t>Chems weigh less</t>
        </is>
      </c>
      <c r="D35" s="12" t="inlineStr">
        <is>
          <t>-45% / -90%</t>
        </is>
      </c>
      <c r="E35" s="12" t="inlineStr">
        <is>
          <t>Likely</t>
        </is>
      </c>
      <c r="F35" s="12" t="inlineStr">
        <is>
          <t>fallout.wiki - Fallout 76 Perks (Strength section)</t>
        </is>
      </c>
    </row>
    <row r="36">
      <c r="A36" s="12" t="inlineStr">
        <is>
          <t>Wound Salter</t>
        </is>
      </c>
      <c r="B36" s="12" t="inlineStr">
        <is>
          <t>STR</t>
        </is>
      </c>
      <c r="C36" s="12" t="inlineStr">
        <is>
          <t>Damage bonus against bleeding targets (formerly Gladiator)</t>
        </is>
      </c>
      <c r="D36" s="12" t="inlineStr">
        <is>
          <t>+10% / +20% / +30%</t>
        </is>
      </c>
      <c r="E36" s="12" t="inlineStr">
        <is>
          <t>Confirmed</t>
        </is>
      </c>
      <c r="F36" s="12" t="inlineStr">
        <is>
          <t>nukaknights.com Patch 62 changelog (Gladiator -&gt; Wound Salter)</t>
        </is>
      </c>
    </row>
    <row r="37">
      <c r="A37" s="12" t="inlineStr">
        <is>
          <t>Wrecking Ball</t>
        </is>
      </c>
      <c r="B37" s="12" t="inlineStr">
        <is>
          <t>STR</t>
        </is>
      </c>
      <c r="C37" s="12" t="inlineStr">
        <is>
          <t>Deal more damage to inanimate objects; also damages your own placed objects</t>
        </is>
      </c>
      <c r="D37" s="12" t="inlineStr">
        <is>
          <t>+100% damage to objects</t>
        </is>
      </c>
      <c r="E37" s="12" t="inlineStr">
        <is>
          <t>Likely</t>
        </is>
      </c>
      <c r="F37" s="12" t="inlineStr">
        <is>
          <t>fallout.wiki - Fallout 76 Perks (Strength section)</t>
        </is>
      </c>
    </row>
    <row r="38">
      <c r="A38" s="12" t="inlineStr">
        <is>
          <t>Arms of Steel</t>
        </is>
      </c>
      <c r="B38" s="12" t="inlineStr">
        <is>
          <t>STR</t>
        </is>
      </c>
      <c r="C38" s="12" t="inlineStr">
        <is>
          <t>Ranged accuracy bonus (Ghoul-exclusive)</t>
        </is>
      </c>
      <c r="D38" s="12" t="inlineStr">
        <is>
          <t>+15% / +30%</t>
        </is>
      </c>
      <c r="E38" s="12" t="inlineStr">
        <is>
          <t>Likely</t>
        </is>
      </c>
      <c r="F38" s="12" t="inlineStr">
        <is>
          <t>fallout.wiki - Fallout 76 Perks (Ghoul Strength section); WebSearch ghoul perk list cross-check</t>
        </is>
      </c>
    </row>
    <row r="39">
      <c r="A39" s="12" t="inlineStr">
        <is>
          <t>Bone Shatterer</t>
        </is>
      </c>
      <c r="B39" s="12" t="inlineStr">
        <is>
          <t>STR</t>
        </is>
      </c>
      <c r="C39" s="12" t="inlineStr">
        <is>
          <t>Limb damage bonus (Ghoul-exclusive)</t>
        </is>
      </c>
      <c r="D39" s="12" t="inlineStr">
        <is>
          <t>+25% / +50% / +75%</t>
        </is>
      </c>
      <c r="E39" s="12" t="inlineStr">
        <is>
          <t>Likely</t>
        </is>
      </c>
      <c r="F39" s="12" t="inlineStr">
        <is>
          <t>fallout.wiki - Fallout 76 Perks (Ghoul Strength section)</t>
        </is>
      </c>
    </row>
    <row r="40">
      <c r="A40" s="12" t="inlineStr">
        <is>
          <t>Brick Wall</t>
        </is>
      </c>
      <c r="B40" s="12" t="inlineStr">
        <is>
          <t>STR</t>
        </is>
      </c>
      <c r="C40" s="12" t="inlineStr">
        <is>
          <t>Immune to staggering attacks when Glow meter is high (Ghoul-exclusive)</t>
        </is>
      </c>
      <c r="D40" s="12" t="inlineStr">
        <is>
          <t>Stagger immunity at high Glow</t>
        </is>
      </c>
      <c r="E40" s="12" t="inlineStr">
        <is>
          <t>Likely</t>
        </is>
      </c>
      <c r="F40" s="12" t="inlineStr">
        <is>
          <t>fallout.wiki - Fallout 76 Perks (Ghoul Strength section)</t>
        </is>
      </c>
    </row>
    <row r="41">
      <c r="A41" s="12" t="inlineStr">
        <is>
          <t>Radioactive Strength</t>
        </is>
      </c>
      <c r="B41" s="12" t="inlineStr">
        <is>
          <t>STR</t>
        </is>
      </c>
      <c r="C41" s="12" t="inlineStr">
        <is>
          <t>Power attack/bash damage bonus (Ghoul-exclusive)</t>
        </is>
      </c>
      <c r="D41" s="12" t="inlineStr">
        <is>
          <t>+50% / +100% / +150%</t>
        </is>
      </c>
      <c r="E41" s="12" t="inlineStr">
        <is>
          <t>Likely</t>
        </is>
      </c>
      <c r="F41" s="12" t="inlineStr">
        <is>
          <t>fallout.wiki - Fallout 76 Perks (Ghoul Strength section)</t>
        </is>
      </c>
    </row>
    <row r="42">
      <c r="A42" s="12" t="inlineStr">
        <is>
          <t>Awareness</t>
        </is>
      </c>
      <c r="B42" s="12" t="inlineStr">
        <is>
          <t>PER</t>
        </is>
      </c>
      <c r="C42" s="12" t="inlineStr">
        <is>
          <t>VATS accuracy bonus based on PER</t>
        </is>
      </c>
      <c r="D42" s="12" t="inlineStr">
        <is>
          <t>formula-based, scales with PER</t>
        </is>
      </c>
      <c r="E42" s="12" t="inlineStr">
        <is>
          <t>Likely</t>
        </is>
      </c>
      <c r="F42" s="12" t="inlineStr">
        <is>
          <t>fallout.wiki - Fallout 76 Perks (Perception section); WebSearch cross-check</t>
        </is>
      </c>
    </row>
    <row r="43">
      <c r="A43" s="12" t="inlineStr">
        <is>
          <t>Bow Before Me</t>
        </is>
      </c>
      <c r="B43" s="12" t="inlineStr">
        <is>
          <t>PER</t>
        </is>
      </c>
      <c r="C43" s="12" t="inlineStr">
        <is>
          <t>Bows/crossbows ignore armor and have a chance to stagger</t>
        </is>
      </c>
      <c r="D43" s="12" t="inlineStr">
        <is>
          <t>-20% armor, 5% stagger chance / -40% armor, 10% stagger chance</t>
        </is>
      </c>
      <c r="E43" s="12" t="inlineStr">
        <is>
          <t>Confirmed</t>
        </is>
      </c>
      <c r="F43" s="12" t="inlineStr">
        <is>
          <t>nukaknights.com Patch 62 changelog; fallout.wiki section fetch</t>
        </is>
      </c>
    </row>
    <row r="44">
      <c r="A44" s="12" t="inlineStr">
        <is>
          <t>Butcher's Bounty</t>
        </is>
      </c>
      <c r="B44" s="12" t="inlineStr">
        <is>
          <t>PER</t>
        </is>
      </c>
      <c r="C44" s="12" t="inlineStr">
        <is>
          <t>Extra meat from animal corpses</t>
        </is>
      </c>
      <c r="D44" s="12" t="inlineStr">
        <is>
          <t>+40% / +60% / +80%</t>
        </is>
      </c>
      <c r="E44" s="12" t="inlineStr">
        <is>
          <t>Likely</t>
        </is>
      </c>
      <c r="F44" s="12" t="inlineStr">
        <is>
          <t>fallout.wiki - Fallout 76 Perks (Perception section)</t>
        </is>
      </c>
    </row>
    <row r="45">
      <c r="A45" s="12" t="inlineStr">
        <is>
          <t>Center Masochist</t>
        </is>
      </c>
      <c r="B45" s="12" t="inlineStr">
        <is>
          <t>PER</t>
        </is>
      </c>
      <c r="C45" s="12" t="inlineStr">
        <is>
          <t>Ranged damage bonus when hitting the torso (formerly Commando, which was a flat +10/15/20% automatic rifle damage perk)</t>
        </is>
      </c>
      <c r="D45" s="12" t="inlineStr">
        <is>
          <t>+25% / +50% / +75%</t>
        </is>
      </c>
      <c r="E45" s="12" t="inlineStr">
        <is>
          <t>Confirmed</t>
        </is>
      </c>
      <c r="F45" s="12" t="inlineStr">
        <is>
          <t>fallout.wiki - Center Masochist, individually verified (name/mechanic history)</t>
        </is>
      </c>
    </row>
    <row r="46">
      <c r="A46" s="12" t="inlineStr">
        <is>
          <t>Concentrated Fire</t>
        </is>
      </c>
      <c r="B46" s="12" t="inlineStr">
        <is>
          <t>PER</t>
        </is>
      </c>
      <c r="C46" s="12" t="inlineStr">
        <is>
          <t>VATS: focusing fire on one body part gains accuracy and bonus damage per shot</t>
        </is>
      </c>
      <c r="D46" s="12" t="inlineStr">
        <is>
          <t>+1% damage per shot / +2% damage per shot / +3% damage per shot</t>
        </is>
      </c>
      <c r="E46" s="12" t="inlineStr">
        <is>
          <t>Likely</t>
        </is>
      </c>
      <c r="F46" s="12" t="inlineStr">
        <is>
          <t>fallout.wiki - Fallout 76 Perks (Perception section)</t>
        </is>
      </c>
    </row>
    <row r="47">
      <c r="A47" s="12" t="inlineStr">
        <is>
          <t>Crack Shot</t>
        </is>
      </c>
      <c r="B47" s="12" t="inlineStr">
        <is>
          <t>PER</t>
        </is>
      </c>
      <c r="C47" s="12" t="inlineStr">
        <is>
          <t>Small guns gain range and hip-fire accuracy</t>
        </is>
      </c>
      <c r="D47" s="12" t="inlineStr">
        <is>
          <t>+10% / +20% / +30%</t>
        </is>
      </c>
      <c r="E47" s="12" t="inlineStr">
        <is>
          <t>Likely</t>
        </is>
      </c>
      <c r="F47" s="12" t="inlineStr">
        <is>
          <t>fallout.wiki - Fallout 76 Perks (Perception section)</t>
        </is>
      </c>
    </row>
    <row r="48">
      <c r="A48" s="12" t="inlineStr">
        <is>
          <t>Deal Sealer</t>
        </is>
      </c>
      <c r="B48" s="12" t="inlineStr">
        <is>
          <t>PER</t>
        </is>
      </c>
      <c r="C48" s="12" t="inlineStr">
        <is>
          <t>Damage bonus per impairment the target has (formerly Archer Expert)</t>
        </is>
      </c>
      <c r="D48" s="12" t="inlineStr">
        <is>
          <t>+10% damage per impairment (crippled, bleeding, burning, poisoned), up to +40%</t>
        </is>
      </c>
      <c r="E48" s="12" t="inlineStr">
        <is>
          <t>Confirmed</t>
        </is>
      </c>
      <c r="F48" s="12" t="inlineStr">
        <is>
          <t>nukaknights.com Patch 62/PTS changelog (Archer Expert -&gt; Deal Sealer)</t>
        </is>
      </c>
    </row>
    <row r="49">
      <c r="A49" s="12" t="inlineStr">
        <is>
          <t>Down Ranger</t>
        </is>
      </c>
      <c r="B49" s="12" t="inlineStr">
        <is>
          <t>PER</t>
        </is>
      </c>
      <c r="C49" s="12" t="inlineStr">
        <is>
          <t>Ranged damage bonus to distant enemies (formerly Rifleman, which was a flat +60% non-automatic rifle damage perk)</t>
        </is>
      </c>
      <c r="D49" s="12" t="inlineStr">
        <is>
          <t>+10% ranged damage at 47+ feet / +15% ranged damage at 47+ feet / +20% ranged damage at 47+ feet</t>
        </is>
      </c>
      <c r="E49" s="12" t="inlineStr">
        <is>
          <t>Confirmed</t>
        </is>
      </c>
      <c r="F49" s="12" t="inlineStr">
        <is>
          <t>fallout.wiki - Down Ranger, individually verified; WebSearch cross-check (Rifleman rename)</t>
        </is>
      </c>
    </row>
    <row r="50">
      <c r="A50" s="12" t="inlineStr">
        <is>
          <t>Expert Picklock</t>
        </is>
      </c>
      <c r="B50" s="12" t="inlineStr">
        <is>
          <t>PER</t>
        </is>
      </c>
      <c r="C50" s="12" t="inlineStr">
        <is>
          <t>Lockpicking skill and sweet-spot size improved</t>
        </is>
      </c>
      <c r="D50" s="12" t="inlineStr">
        <is>
          <t>+1 lockpicking skill, 10% larger sweet spot</t>
        </is>
      </c>
      <c r="E50" s="12" t="inlineStr">
        <is>
          <t>Likely</t>
        </is>
      </c>
      <c r="F50" s="12" t="inlineStr">
        <is>
          <t>fallout.wiki - Fallout 76 Perks (Perception section)</t>
        </is>
      </c>
    </row>
    <row r="51">
      <c r="A51" s="12" t="inlineStr">
        <is>
          <t>Exterminator</t>
        </is>
      </c>
      <c r="B51" s="12" t="inlineStr">
        <is>
          <t>PER</t>
        </is>
      </c>
      <c r="C51" s="12" t="inlineStr">
        <is>
          <t>Attacks ignore insect armor</t>
        </is>
      </c>
      <c r="D51" s="12" t="inlineStr">
        <is>
          <t>-25% / -50% / -75%</t>
        </is>
      </c>
      <c r="E51" s="12" t="inlineStr">
        <is>
          <t>Likely</t>
        </is>
      </c>
      <c r="F51" s="12" t="inlineStr">
        <is>
          <t>fallout.wiki - Fallout 76 Perks (Perception section)</t>
        </is>
      </c>
    </row>
    <row r="52">
      <c r="A52" s="12" t="inlineStr">
        <is>
          <t>Fast Fighter</t>
        </is>
      </c>
      <c r="B52" s="12" t="inlineStr">
        <is>
          <t>PER</t>
        </is>
      </c>
      <c r="C52" s="12" t="inlineStr">
        <is>
          <t>Movement speed bonus also applies to reload speed</t>
        </is>
      </c>
      <c r="D52" s="12" t="inlineStr">
        <is>
          <t>Movement speed bonus converted to reload speed bonus</t>
        </is>
      </c>
      <c r="E52" s="12" t="inlineStr">
        <is>
          <t>Likely</t>
        </is>
      </c>
      <c r="F52" s="12" t="inlineStr">
        <is>
          <t>fallout.wiki - Fallout 76 Perks (Perception section)</t>
        </is>
      </c>
    </row>
    <row r="53">
      <c r="A53" s="12" t="inlineStr">
        <is>
          <t>Fortune Finder</t>
        </is>
      </c>
      <c r="B53" s="12" t="inlineStr">
        <is>
          <t>PER</t>
        </is>
      </c>
      <c r="C53" s="12" t="inlineStr">
        <is>
          <t>Directional audio cue for nearby Caps Stashes</t>
        </is>
      </c>
      <c r="D53" s="12" t="inlineStr">
        <is>
          <t>Audio cue near Caps Stash</t>
        </is>
      </c>
      <c r="E53" s="12" t="inlineStr">
        <is>
          <t>Likely</t>
        </is>
      </c>
      <c r="F53" s="12" t="inlineStr">
        <is>
          <t>fallout.wiki - Fallout 76 Perks (Perception section)</t>
        </is>
      </c>
    </row>
    <row r="54">
      <c r="A54" s="12" t="inlineStr">
        <is>
          <t>Glow Sight</t>
        </is>
      </c>
      <c r="B54" s="12" t="inlineStr">
        <is>
          <t>PER</t>
        </is>
      </c>
      <c r="C54" s="12" t="inlineStr">
        <is>
          <t>Damage bonus against glowing enemies</t>
        </is>
      </c>
      <c r="D54" s="12" t="inlineStr">
        <is>
          <t>+20% / +40% / +60%</t>
        </is>
      </c>
      <c r="E54" s="12" t="inlineStr">
        <is>
          <t>Likely</t>
        </is>
      </c>
      <c r="F54" s="12" t="inlineStr">
        <is>
          <t>fallout.wiki - Fallout 76 Perks (Perception section)</t>
        </is>
      </c>
    </row>
    <row r="55">
      <c r="A55" s="12" t="inlineStr">
        <is>
          <t>Green Thumb</t>
        </is>
      </c>
      <c r="B55" s="12" t="inlineStr">
        <is>
          <t>PER</t>
        </is>
      </c>
      <c r="C55" s="12" t="inlineStr">
        <is>
          <t>Double flora harvest yield</t>
        </is>
      </c>
      <c r="D55" s="12" t="inlineStr">
        <is>
          <t>2x harvest</t>
        </is>
      </c>
      <c r="E55" s="12" t="inlineStr">
        <is>
          <t>Likely</t>
        </is>
      </c>
      <c r="F55" s="12" t="inlineStr">
        <is>
          <t>fallout.wiki - Fallout 76 Perks (Perception section)</t>
        </is>
      </c>
    </row>
    <row r="56">
      <c r="A56" s="12" t="inlineStr">
        <is>
          <t>Grenadier</t>
        </is>
      </c>
      <c r="B56" s="12" t="inlineStr">
        <is>
          <t>PER</t>
        </is>
      </c>
      <c r="C56" s="12" t="inlineStr">
        <is>
          <t>Explosives detonate with a larger radius</t>
        </is>
      </c>
      <c r="D56" s="12" t="inlineStr">
        <is>
          <t>+50% larger radius / 2x radius</t>
        </is>
      </c>
      <c r="E56" s="12" t="inlineStr">
        <is>
          <t>Likely</t>
        </is>
      </c>
      <c r="F56" s="12" t="inlineStr">
        <is>
          <t>fallout.wiki - Fallout 76 Perks (Perception section)</t>
        </is>
      </c>
    </row>
    <row r="57">
      <c r="A57" s="12" t="inlineStr">
        <is>
          <t>Ground Pounder</t>
        </is>
      </c>
      <c r="B57" s="12" t="inlineStr">
        <is>
          <t>PER</t>
        </is>
      </c>
      <c r="C57" s="12" t="inlineStr">
        <is>
          <t>Small guns reload faster and gain hip-fire accuracy</t>
        </is>
      </c>
      <c r="D57" s="12" t="inlineStr">
        <is>
          <t>+10% reload / +15% hip-fire accuracy / +20% reload / +30% hip-fire accuracy / +30% reload / +45% hip-fire accuracy</t>
        </is>
      </c>
      <c r="E57" s="12" t="inlineStr">
        <is>
          <t>Likely</t>
        </is>
      </c>
      <c r="F57" s="12" t="inlineStr">
        <is>
          <t>fallout.wiki - Fallout 76 Perks (Perception section)</t>
        </is>
      </c>
    </row>
    <row r="58">
      <c r="A58" s="12" t="inlineStr">
        <is>
          <t>Hat Trick</t>
        </is>
      </c>
      <c r="B58" s="12" t="inlineStr">
        <is>
          <t>PER</t>
        </is>
      </c>
      <c r="C58" s="12" t="inlineStr">
        <is>
          <t>Arrows and thrown weapons bounce to additional targets at reduced damage (formerly Archer)</t>
        </is>
      </c>
      <c r="D58" s="12" t="inlineStr">
        <is>
          <t>bounces to 1 additional target at ~70-80% damage / bounces to 2 additional targets / bounces to 3 additional targets</t>
        </is>
      </c>
      <c r="E58" s="12" t="inlineStr">
        <is>
          <t>Confirmed</t>
        </is>
      </c>
      <c r="F58" s="12" t="inlineStr">
        <is>
          <t>nukaknights.com Patch 62/PTS changelog (Archer -&gt; Hat Trick)</t>
        </is>
      </c>
    </row>
    <row r="59">
      <c r="A59" s="12" t="inlineStr">
        <is>
          <t>Long Shot</t>
        </is>
      </c>
      <c r="B59" s="12" t="inlineStr">
        <is>
          <t>PER</t>
        </is>
      </c>
      <c r="C59" s="12" t="inlineStr">
        <is>
          <t>Rifles have more range while aiming</t>
        </is>
      </c>
      <c r="D59" s="12" t="inlineStr">
        <is>
          <t>+30% range when aiming</t>
        </is>
      </c>
      <c r="E59" s="12" t="inlineStr">
        <is>
          <t>Likely</t>
        </is>
      </c>
      <c r="F59" s="12" t="inlineStr">
        <is>
          <t>fallout.wiki - Fallout 76 Perks (Perception section)</t>
        </is>
      </c>
    </row>
    <row r="60">
      <c r="A60" s="12" t="inlineStr">
        <is>
          <t>Master Archer</t>
        </is>
      </c>
      <c r="B60" s="12" t="inlineStr">
        <is>
          <t>PER</t>
        </is>
      </c>
      <c r="C60" s="12" t="inlineStr">
        <is>
          <t>Arrows and thrown weapons pierce targets (formerly Archer Master)</t>
        </is>
      </c>
      <c r="D60" s="12" t="inlineStr">
        <is>
          <t>Projectile penetration through targets</t>
        </is>
      </c>
      <c r="E60" s="12" t="inlineStr">
        <is>
          <t>Confirmed</t>
        </is>
      </c>
      <c r="F60" s="12" t="inlineStr">
        <is>
          <t>nukaknights.com Patch 62/PTS changelog (Archer Master -&gt; Master Archer)</t>
        </is>
      </c>
    </row>
    <row r="61">
      <c r="A61" s="12" t="inlineStr">
        <is>
          <t>Master Picklock</t>
        </is>
      </c>
      <c r="B61" s="12" t="inlineStr">
        <is>
          <t>PER</t>
        </is>
      </c>
      <c r="C61" s="12" t="inlineStr">
        <is>
          <t>Lockpicking skill and sweet-spot size improved</t>
        </is>
      </c>
      <c r="D61" s="12" t="inlineStr">
        <is>
          <t>+1 lockpicking skill, 10% larger sweet spot</t>
        </is>
      </c>
      <c r="E61" s="12" t="inlineStr">
        <is>
          <t>Likely</t>
        </is>
      </c>
      <c r="F61" s="12" t="inlineStr">
        <is>
          <t>fallout.wiki - Fallout 76 Perks (Perception section)</t>
        </is>
      </c>
    </row>
    <row r="62">
      <c r="A62" s="12" t="inlineStr">
        <is>
          <t>Night Eyes</t>
        </is>
      </c>
      <c r="B62" s="12" t="inlineStr">
        <is>
          <t>PER</t>
        </is>
      </c>
      <c r="C62" s="12" t="inlineStr">
        <is>
          <t>Night vision while sneaking</t>
        </is>
      </c>
      <c r="D62" s="12" t="inlineStr">
        <is>
          <t>Night vision while sneaking</t>
        </is>
      </c>
      <c r="E62" s="12" t="inlineStr">
        <is>
          <t>Likely</t>
        </is>
      </c>
      <c r="F62" s="12" t="inlineStr">
        <is>
          <t>fallout.wiki - Fallout 76 Perks (Perception section)</t>
        </is>
      </c>
    </row>
    <row r="63">
      <c r="A63" s="12" t="inlineStr">
        <is>
          <t>Night Person</t>
        </is>
      </c>
      <c r="B63" s="12" t="inlineStr">
        <is>
          <t>PER</t>
        </is>
      </c>
      <c r="C63" s="12" t="inlineStr">
        <is>
          <t>INT and PER bonus between 6pm-6am</t>
        </is>
      </c>
      <c r="D63" s="12" t="inlineStr">
        <is>
          <t>+1 INT/+1 PER / +2 INT/+2 PER / +3 INT/+3 PER</t>
        </is>
      </c>
      <c r="E63" s="12" t="inlineStr">
        <is>
          <t>Likely</t>
        </is>
      </c>
      <c r="F63" s="12" t="inlineStr">
        <is>
          <t>fallout.wiki - Fallout 76 Perks (Perception section)</t>
        </is>
      </c>
    </row>
    <row r="64">
      <c r="A64" s="12" t="inlineStr">
        <is>
          <t>Number Cruncher</t>
        </is>
      </c>
      <c r="B64" s="12" t="inlineStr">
        <is>
          <t>PER</t>
        </is>
      </c>
      <c r="C64" s="12" t="inlineStr">
        <is>
          <t>Damage scales up with the AP cost of the attack used</t>
        </is>
      </c>
      <c r="D64" s="12" t="inlineStr">
        <is>
          <t>+2% damage per AP cost of the attack</t>
        </is>
      </c>
      <c r="E64" s="12" t="inlineStr">
        <is>
          <t>Likely</t>
        </is>
      </c>
      <c r="F64" s="12" t="inlineStr">
        <is>
          <t>fallout.wiki - Fallout 76 Perks (Perception section)</t>
        </is>
      </c>
    </row>
    <row r="65">
      <c r="A65" s="12" t="inlineStr">
        <is>
          <t>Pannapictagraphist</t>
        </is>
      </c>
      <c r="B65" s="12" t="inlineStr">
        <is>
          <t>PER</t>
        </is>
      </c>
      <c r="C65" s="12" t="inlineStr">
        <is>
          <t>Directional audio cue for nearby Magazines</t>
        </is>
      </c>
      <c r="D65" s="12" t="inlineStr">
        <is>
          <t>Audio cue near Magazines</t>
        </is>
      </c>
      <c r="E65" s="12" t="inlineStr">
        <is>
          <t>Likely</t>
        </is>
      </c>
      <c r="F65" s="12" t="inlineStr">
        <is>
          <t>fallout.wiki - Fallout 76 Perks (Perception section)</t>
        </is>
      </c>
    </row>
    <row r="66">
      <c r="A66" s="12" t="inlineStr">
        <is>
          <t>Percepti-Bobble</t>
        </is>
      </c>
      <c r="B66" s="12" t="inlineStr">
        <is>
          <t>PER</t>
        </is>
      </c>
      <c r="C66" s="12" t="inlineStr">
        <is>
          <t>Directional audio cue for nearby Bobbleheads</t>
        </is>
      </c>
      <c r="D66" s="12" t="inlineStr">
        <is>
          <t>Audio cue near Bobbleheads</t>
        </is>
      </c>
      <c r="E66" s="12" t="inlineStr">
        <is>
          <t>Likely</t>
        </is>
      </c>
      <c r="F66" s="12" t="inlineStr">
        <is>
          <t>fallout.wiki - Fallout 76 Perks (Perception section)</t>
        </is>
      </c>
    </row>
    <row r="67">
      <c r="A67" s="12" t="inlineStr">
        <is>
          <t>Picklock</t>
        </is>
      </c>
      <c r="B67" s="12" t="inlineStr">
        <is>
          <t>PER</t>
        </is>
      </c>
      <c r="C67" s="12" t="inlineStr">
        <is>
          <t>Lockpicking skill and sweet-spot size improved</t>
        </is>
      </c>
      <c r="D67" s="12" t="inlineStr">
        <is>
          <t>+1 lockpicking skill, 10% larger sweet spot</t>
        </is>
      </c>
      <c r="E67" s="12" t="inlineStr">
        <is>
          <t>Likely</t>
        </is>
      </c>
      <c r="F67" s="12" t="inlineStr">
        <is>
          <t>fallout.wiki - Fallout 76 Perks (Perception section)</t>
        </is>
      </c>
    </row>
    <row r="68">
      <c r="A68" s="12" t="inlineStr">
        <is>
          <t>Refractor</t>
        </is>
      </c>
      <c r="B68" s="12" t="inlineStr">
        <is>
          <t>PER</t>
        </is>
      </c>
      <c r="C68" s="12" t="inlineStr">
        <is>
          <t>Energy Resistance bonus</t>
        </is>
      </c>
      <c r="D68" s="12" t="inlineStr">
        <is>
          <t>+10 ER / +20 ER / +30 ER / +40 ER</t>
        </is>
      </c>
      <c r="E68" s="12" t="inlineStr">
        <is>
          <t>Likely</t>
        </is>
      </c>
      <c r="F68" s="12" t="inlineStr">
        <is>
          <t>fallout.wiki - Fallout 76 Perks (Perception section)</t>
        </is>
      </c>
    </row>
    <row r="69">
      <c r="A69" s="12" t="inlineStr">
        <is>
          <t>Scoped-up</t>
        </is>
      </c>
      <c r="B69" s="12" t="inlineStr">
        <is>
          <t>PER</t>
        </is>
      </c>
      <c r="C69" s="12" t="inlineStr">
        <is>
          <t>Scoped weapons have more range while aiming</t>
        </is>
      </c>
      <c r="D69" s="12" t="inlineStr">
        <is>
          <t>+50% range when aiming</t>
        </is>
      </c>
      <c r="E69" s="12" t="inlineStr">
        <is>
          <t>Likely</t>
        </is>
      </c>
      <c r="F69" s="12" t="inlineStr">
        <is>
          <t>fallout.wiki - Fallout 76 Perks (Perception section)</t>
        </is>
      </c>
    </row>
    <row r="70">
      <c r="A70" s="12" t="inlineStr">
        <is>
          <t>Skeet Shooter</t>
        </is>
      </c>
      <c r="B70" s="12" t="inlineStr">
        <is>
          <t>PER</t>
        </is>
      </c>
      <c r="C70" s="12" t="inlineStr">
        <is>
          <t>Small guns gain accuracy and spread improvement</t>
        </is>
      </c>
      <c r="D70" s="12" t="inlineStr">
        <is>
          <t>45% accuracy/spread improvement</t>
        </is>
      </c>
      <c r="E70" s="12" t="inlineStr">
        <is>
          <t>Likely</t>
        </is>
      </c>
      <c r="F70" s="12" t="inlineStr">
        <is>
          <t>fallout.wiki - Fallout 76 Perks (Perception section)</t>
        </is>
      </c>
    </row>
    <row r="71">
      <c r="A71" s="12" t="inlineStr">
        <is>
          <t>Smart Shot</t>
        </is>
      </c>
      <c r="B71" s="12" t="inlineStr">
        <is>
          <t>PER</t>
        </is>
      </c>
      <c r="C71" s="12" t="inlineStr">
        <is>
          <t>Scoped weapons deal more weak-spot damage</t>
        </is>
      </c>
      <c r="D71" s="12" t="inlineStr">
        <is>
          <t>+25% weak spot damage (scoped weapons)</t>
        </is>
      </c>
      <c r="E71" s="12" t="inlineStr">
        <is>
          <t>Likely</t>
        </is>
      </c>
      <c r="F71" s="12" t="inlineStr">
        <is>
          <t>fallout.wiki - Fallout 76 Perks (Perception section)</t>
        </is>
      </c>
    </row>
    <row r="72">
      <c r="A72" s="12" t="inlineStr">
        <is>
          <t>Sniper</t>
        </is>
      </c>
      <c r="B72" s="12" t="inlineStr">
        <is>
          <t>PER</t>
        </is>
      </c>
      <c r="C72" s="12" t="inlineStr">
        <is>
          <t>Better scope sway control and longer breath hold</t>
        </is>
      </c>
      <c r="D72" s="12" t="inlineStr">
        <is>
          <t>Improved scope control, +75% longer breath hold</t>
        </is>
      </c>
      <c r="E72" s="12" t="inlineStr">
        <is>
          <t>Likely</t>
        </is>
      </c>
      <c r="F72" s="12" t="inlineStr">
        <is>
          <t>fallout.wiki - Fallout 76 Perks (Perception section)</t>
        </is>
      </c>
    </row>
    <row r="73">
      <c r="A73" s="12" t="inlineStr">
        <is>
          <t>Tank Killer</t>
        </is>
      </c>
      <c r="B73" s="12" t="inlineStr">
        <is>
          <t>PER</t>
        </is>
      </c>
      <c r="C73" s="12" t="inlineStr">
        <is>
          <t>Ranged weapons (including heavy weapons) ignore target armor</t>
        </is>
      </c>
      <c r="D73" s="12" t="inlineStr">
        <is>
          <t>-20% armor / -40% armor</t>
        </is>
      </c>
      <c r="E73" s="12" t="inlineStr">
        <is>
          <t>Confirmed</t>
        </is>
      </c>
      <c r="F73" s="12" t="inlineStr">
        <is>
          <t>nukaknights.com Patch 62 changelog (reworked to include all ranged incl. heavies); fallout.wiki section fetch</t>
        </is>
      </c>
    </row>
    <row r="74">
      <c r="A74" s="12" t="inlineStr">
        <is>
          <t>Tormentor</t>
        </is>
      </c>
      <c r="B74" s="12" t="inlineStr">
        <is>
          <t>PER</t>
        </is>
      </c>
      <c r="C74" s="12" t="inlineStr">
        <is>
          <t>Damage bonus per crippled limb the target has</t>
        </is>
      </c>
      <c r="D74" s="12" t="inlineStr">
        <is>
          <t>+20% damage per crippled limb</t>
        </is>
      </c>
      <c r="E74" s="12" t="inlineStr">
        <is>
          <t>Confirmed</t>
        </is>
      </c>
      <c r="F74" s="12" t="inlineStr">
        <is>
          <t>fallout.wiki - Tormentor, individually verified</t>
        </is>
      </c>
    </row>
    <row r="75">
      <c r="A75" s="12" t="inlineStr">
        <is>
          <t>Breathe It In</t>
        </is>
      </c>
      <c r="B75" s="12" t="inlineStr">
        <is>
          <t>PER</t>
        </is>
      </c>
      <c r="C75" s="12" t="inlineStr">
        <is>
          <t>Lower own Radiation Resistance in exchange for Glow generation (Ghoul-exclusive)</t>
        </is>
      </c>
      <c r="D75" s="12" t="inlineStr">
        <is>
          <t>-50 Rad Resist / -100 Rad Resist / -150 Rad Resist</t>
        </is>
      </c>
      <c r="E75" s="12" t="inlineStr">
        <is>
          <t>Likely</t>
        </is>
      </c>
      <c r="F75" s="12" t="inlineStr">
        <is>
          <t>fallout.wiki - Fallout 76 Perks (Ghoul Perception section)</t>
        </is>
      </c>
    </row>
    <row r="76">
      <c r="A76" s="12" t="inlineStr">
        <is>
          <t>Eye of the Hunter</t>
        </is>
      </c>
      <c r="B76" s="12" t="inlineStr">
        <is>
          <t>PER</t>
        </is>
      </c>
      <c r="C76" s="12" t="inlineStr">
        <is>
          <t>VATS accuracy bonus at increasing distance (Ghoul-exclusive)</t>
        </is>
      </c>
      <c r="D76" s="12" t="inlineStr">
        <is>
          <t>+20% VATS accuracy, slightly longer distance / +25%, longer distance / +30%, very long distance</t>
        </is>
      </c>
      <c r="E76" s="12" t="inlineStr">
        <is>
          <t>Likely</t>
        </is>
      </c>
      <c r="F76" s="12" t="inlineStr">
        <is>
          <t>fallout.wiki - Fallout 76 Perks (Ghoul Perception section)</t>
        </is>
      </c>
    </row>
    <row r="77">
      <c r="A77" s="12" t="inlineStr">
        <is>
          <t>Glowing Hunter</t>
        </is>
      </c>
      <c r="B77" s="12" t="inlineStr">
        <is>
          <t>PER</t>
        </is>
      </c>
      <c r="C77" s="12" t="inlineStr">
        <is>
          <t>Chance for glowing blood trace to appear on animal corpses (Ghoul-exclusive)</t>
        </is>
      </c>
      <c r="D77" s="12" t="inlineStr">
        <is>
          <t>50% chance</t>
        </is>
      </c>
      <c r="E77" s="12" t="inlineStr">
        <is>
          <t>Likely</t>
        </is>
      </c>
      <c r="F77" s="12" t="inlineStr">
        <is>
          <t>fallout.wiki - Fallout 76 Perks (Ghoul Perception section)</t>
        </is>
      </c>
    </row>
    <row r="78">
      <c r="A78" s="12" t="inlineStr">
        <is>
          <t>Rad-Reaver</t>
        </is>
      </c>
      <c r="B78" s="12" t="inlineStr">
        <is>
          <t>PER</t>
        </is>
      </c>
      <c r="C78" s="12" t="inlineStr">
        <is>
          <t>Non-automatic melee damage generates a small amount of Glow (Ghoul-exclusive)</t>
        </is>
      </c>
      <c r="D78" s="12" t="inlineStr">
        <is>
          <t>Small Glow generation on non-auto melee hits</t>
        </is>
      </c>
      <c r="E78" s="12" t="inlineStr">
        <is>
          <t>Likely</t>
        </is>
      </c>
      <c r="F78" s="12" t="inlineStr">
        <is>
          <t>fallout.wiki - Fallout 76 Perks (Ghoul Perception section)</t>
        </is>
      </c>
    </row>
    <row r="79">
      <c r="A79" s="12" t="inlineStr">
        <is>
          <t>Adamantium Skeleton</t>
        </is>
      </c>
      <c r="B79" s="12" t="inlineStr">
        <is>
          <t>END</t>
        </is>
      </c>
      <c r="C79" s="12" t="inlineStr">
        <is>
          <t>Reduced limb damage based on END</t>
        </is>
      </c>
      <c r="D79" s="12" t="inlineStr">
        <is>
          <t>formula-based, scales with END</t>
        </is>
      </c>
      <c r="E79" s="12" t="inlineStr">
        <is>
          <t>Likely</t>
        </is>
      </c>
      <c r="F79" s="12" t="inlineStr">
        <is>
          <t>fallout.wiki - Fallout 76 Perks (Endurance section)</t>
        </is>
      </c>
    </row>
    <row r="80">
      <c r="A80" s="12" t="inlineStr">
        <is>
          <t>All Night Long</t>
        </is>
      </c>
      <c r="B80" s="12" t="inlineStr">
        <is>
          <t>END</t>
        </is>
      </c>
      <c r="C80" s="12" t="inlineStr">
        <is>
          <t>Pre-war alcohol beneficial effects last twice as long</t>
        </is>
      </c>
      <c r="D80" s="12" t="inlineStr">
        <is>
          <t>2x duration</t>
        </is>
      </c>
      <c r="E80" s="12" t="inlineStr">
        <is>
          <t>Likely</t>
        </is>
      </c>
      <c r="F80" s="12" t="inlineStr">
        <is>
          <t>fallout.wiki - Fallout 76 Perks (Endurance section)</t>
        </is>
      </c>
    </row>
    <row r="81">
      <c r="A81" s="12" t="inlineStr">
        <is>
          <t>Aquaboy</t>
        </is>
      </c>
      <c r="B81" s="12" t="inlineStr">
        <is>
          <t>END</t>
        </is>
      </c>
      <c r="C81" s="12" t="inlineStr">
        <is>
          <t>No radiation damage from swimming; can breathe underwater (male-presenting variant name)</t>
        </is>
      </c>
      <c r="D81" s="12" t="inlineStr">
        <is>
          <t>No swim rads, underwater breathing</t>
        </is>
      </c>
      <c r="E81" s="12" t="inlineStr">
        <is>
          <t>Likely</t>
        </is>
      </c>
      <c r="F81" s="12" t="inlineStr">
        <is>
          <t>fallout.wiki - Fallout 76 Perks (Endurance section)</t>
        </is>
      </c>
    </row>
    <row r="82">
      <c r="A82" s="12" t="inlineStr">
        <is>
          <t>Aquagirl</t>
        </is>
      </c>
      <c r="B82" s="12" t="inlineStr">
        <is>
          <t>END</t>
        </is>
      </c>
      <c r="C82" s="12" t="inlineStr">
        <is>
          <t>No radiation damage from swimming; can breathe underwater (female-presenting variant name, identical mechanics to Aquaboy)</t>
        </is>
      </c>
      <c r="D82" s="12" t="inlineStr">
        <is>
          <t>No swim rads, underwater breathing</t>
        </is>
      </c>
      <c r="E82" s="12" t="inlineStr">
        <is>
          <t>Likely</t>
        </is>
      </c>
      <c r="F82" s="12" t="inlineStr">
        <is>
          <t>fallout.wiki - Fallout 76 Perks (Endurance section)</t>
        </is>
      </c>
    </row>
    <row r="83">
      <c r="A83" s="12" t="inlineStr">
        <is>
          <t>Bloodsucker</t>
        </is>
      </c>
      <c r="B83" s="12" t="inlineStr">
        <is>
          <t>END</t>
        </is>
      </c>
      <c r="C83" s="12" t="inlineStr">
        <is>
          <t>Blood Packs satisfy thirst without irradiating, and heal double</t>
        </is>
      </c>
      <c r="D83" s="12" t="inlineStr">
        <is>
          <t>Blood Pack: no rads, +thirst, 2x healing</t>
        </is>
      </c>
      <c r="E83" s="12" t="inlineStr">
        <is>
          <t>Likely</t>
        </is>
      </c>
      <c r="F83" s="12" t="inlineStr">
        <is>
          <t>fallout.wiki - Fallout 76 Perks (Endurance section)</t>
        </is>
      </c>
    </row>
    <row r="84">
      <c r="A84" s="12" t="inlineStr">
        <is>
          <t>Bullet Shield</t>
        </is>
      </c>
      <c r="B84" s="12" t="inlineStr">
        <is>
          <t>END</t>
        </is>
      </c>
      <c r="C84" s="12" t="inlineStr">
        <is>
          <t>Chance to deflect incoming damage for a short time after firing a heavy gun</t>
        </is>
      </c>
      <c r="D84" s="12" t="inlineStr">
        <is>
          <t>5% deflect chance (6s) / 10% deflect chance (6s) / 15% deflect chance (6s) / 20% deflect chance (6s)</t>
        </is>
      </c>
      <c r="E84" s="12" t="inlineStr">
        <is>
          <t>Likely</t>
        </is>
      </c>
      <c r="F84" s="12" t="inlineStr">
        <is>
          <t>fallout.wiki - Fallout 76 Perks (Endurance section)</t>
        </is>
      </c>
    </row>
    <row r="85">
      <c r="A85" s="12" t="inlineStr">
        <is>
          <t>Cannibal</t>
        </is>
      </c>
      <c r="B85" s="12" t="inlineStr">
        <is>
          <t>END</t>
        </is>
      </c>
      <c r="C85" s="12" t="inlineStr">
        <is>
          <t>Eating corpses restores health and hunger</t>
        </is>
      </c>
      <c r="D85" s="12" t="inlineStr">
        <is>
          <t>Restores HP and hunger from eating corpses</t>
        </is>
      </c>
      <c r="E85" s="12" t="inlineStr">
        <is>
          <t>Likely</t>
        </is>
      </c>
      <c r="F85" s="12" t="inlineStr">
        <is>
          <t>fallout.wiki - Fallout 76 Perks (Endurance section)</t>
        </is>
      </c>
    </row>
    <row r="86">
      <c r="A86" s="12" t="inlineStr">
        <is>
          <t>Chem Fiend</t>
        </is>
      </c>
      <c r="B86" s="12" t="inlineStr">
        <is>
          <t>END</t>
        </is>
      </c>
      <c r="C86" s="12" t="inlineStr">
        <is>
          <t>Chems last longer</t>
        </is>
      </c>
      <c r="D86" s="12" t="inlineStr">
        <is>
          <t>+100% chem duration</t>
        </is>
      </c>
      <c r="E86" s="12" t="inlineStr">
        <is>
          <t>Likely</t>
        </is>
      </c>
      <c r="F86" s="12" t="inlineStr">
        <is>
          <t>fallout.wiki - Fallout 76 Perks (Endurance section)</t>
        </is>
      </c>
    </row>
    <row r="87">
      <c r="A87" s="12" t="inlineStr">
        <is>
          <t>Chem Resistant</t>
        </is>
      </c>
      <c r="B87" s="12" t="inlineStr">
        <is>
          <t>END</t>
        </is>
      </c>
      <c r="C87" s="12" t="inlineStr">
        <is>
          <t>Reduced/removed chance of chem addiction</t>
        </is>
      </c>
      <c r="D87" s="12" t="inlineStr">
        <is>
          <t>-50% addiction chance / complete immunity</t>
        </is>
      </c>
      <c r="E87" s="12" t="inlineStr">
        <is>
          <t>Likely</t>
        </is>
      </c>
      <c r="F87" s="12" t="inlineStr">
        <is>
          <t>fallout.wiki - Fallout 76 Perks (Endurance section)</t>
        </is>
      </c>
    </row>
    <row r="88">
      <c r="A88" s="12" t="inlineStr">
        <is>
          <t>Cola Nut</t>
        </is>
      </c>
      <c r="B88" s="12" t="inlineStr">
        <is>
          <t>END</t>
        </is>
      </c>
      <c r="C88" s="12" t="inlineStr">
        <is>
          <t>Nuka-Cola products are more beneficial</t>
        </is>
      </c>
      <c r="D88" s="12" t="inlineStr">
        <is>
          <t>2x beneficial / 3x beneficial</t>
        </is>
      </c>
      <c r="E88" s="12" t="inlineStr">
        <is>
          <t>Likely</t>
        </is>
      </c>
      <c r="F88" s="12" t="inlineStr">
        <is>
          <t>fallout.wiki - Fallout 76 Perks (Endurance section)</t>
        </is>
      </c>
    </row>
    <row r="89">
      <c r="A89" s="12" t="inlineStr">
        <is>
          <t>Dromedary</t>
        </is>
      </c>
      <c r="B89" s="12" t="inlineStr">
        <is>
          <t>END</t>
        </is>
      </c>
      <c r="C89" s="12" t="inlineStr">
        <is>
          <t>Drinks quench thirst more</t>
        </is>
      </c>
      <c r="D89" s="12" t="inlineStr">
        <is>
          <t>+50% / +100%</t>
        </is>
      </c>
      <c r="E89" s="12" t="inlineStr">
        <is>
          <t>Likely</t>
        </is>
      </c>
      <c r="F89" s="12" t="inlineStr">
        <is>
          <t>fallout.wiki - Fallout 76 Perks (Endurance section)</t>
        </is>
      </c>
    </row>
    <row r="90">
      <c r="A90" s="12" t="inlineStr">
        <is>
          <t>Ghoulish</t>
        </is>
      </c>
      <c r="B90" s="12" t="inlineStr">
        <is>
          <t>END</t>
        </is>
      </c>
      <c r="C90" s="12" t="inlineStr">
        <is>
          <t>Radiation exposure regenerates health instead of harming (escalating per rank)</t>
        </is>
      </c>
      <c r="D90" s="12" t="inlineStr">
        <is>
          <t>slow HP regen from rads / faster HP regen from rads / fastest HP regen from rads</t>
        </is>
      </c>
      <c r="E90" s="12" t="inlineStr">
        <is>
          <t>Likely</t>
        </is>
      </c>
      <c r="F90" s="12" t="inlineStr">
        <is>
          <t>fallout.wiki - Fallout 76 Perks (Endurance section)</t>
        </is>
      </c>
    </row>
    <row r="91">
      <c r="A91" s="12" t="inlineStr">
        <is>
          <t>Good Doggy</t>
        </is>
      </c>
      <c r="B91" s="12" t="inlineStr">
        <is>
          <t>END</t>
        </is>
      </c>
      <c r="C91" s="12" t="inlineStr">
        <is>
          <t>Dog food is more beneficial</t>
        </is>
      </c>
      <c r="D91" s="12" t="inlineStr">
        <is>
          <t>3x as beneficial</t>
        </is>
      </c>
      <c r="E91" s="12" t="inlineStr">
        <is>
          <t>Likely</t>
        </is>
      </c>
      <c r="F91" s="12" t="inlineStr">
        <is>
          <t>fallout.wiki - Fallout 76 Perks (Endurance section)</t>
        </is>
      </c>
    </row>
    <row r="92">
      <c r="A92" s="12" t="inlineStr">
        <is>
          <t>Hardy</t>
        </is>
      </c>
      <c r="B92" s="12" t="inlineStr">
        <is>
          <t>END</t>
        </is>
      </c>
      <c r="C92" s="12" t="inlineStr">
        <is>
          <t>Explosion damage resistance</t>
        </is>
      </c>
      <c r="D92" s="12" t="inlineStr">
        <is>
          <t>-15% / -30% / -45%</t>
        </is>
      </c>
      <c r="E92" s="12" t="inlineStr">
        <is>
          <t>Likely</t>
        </is>
      </c>
      <c r="F92" s="12" t="inlineStr">
        <is>
          <t>fallout.wiki - Fallout 76 Perks (Endurance section)</t>
        </is>
      </c>
    </row>
    <row r="93">
      <c r="A93" s="12" t="inlineStr">
        <is>
          <t>Homebody</t>
        </is>
      </c>
      <c r="B93" s="12" t="inlineStr">
        <is>
          <t>END</t>
        </is>
      </c>
      <c r="C93" s="12" t="inlineStr">
        <is>
          <t>HP and limb regen while in CAMP/Workshop; improved rest benefits</t>
        </is>
      </c>
      <c r="D93" s="12" t="inlineStr">
        <is>
          <t>HP/limb regen in CAMP/Workshop, improved rest bonuses</t>
        </is>
      </c>
      <c r="E93" s="12" t="inlineStr">
        <is>
          <t>Confirmed</t>
        </is>
      </c>
      <c r="F93" s="12" t="inlineStr">
        <is>
          <t>nukaknights.com Patch 62 changelog (reworked); fallout.wiki section fetch</t>
        </is>
      </c>
    </row>
    <row r="94">
      <c r="A94" s="12" t="inlineStr">
        <is>
          <t>Hydro Fix</t>
        </is>
      </c>
      <c r="B94" s="12" t="inlineStr">
        <is>
          <t>END</t>
        </is>
      </c>
      <c r="C94" s="12" t="inlineStr">
        <is>
          <t>Chems restore thirst</t>
        </is>
      </c>
      <c r="D94" s="12" t="inlineStr">
        <is>
          <t>chems restore thirst / 2x thirst restoration</t>
        </is>
      </c>
      <c r="E94" s="12" t="inlineStr">
        <is>
          <t>Likely</t>
        </is>
      </c>
      <c r="F94" s="12" t="inlineStr">
        <is>
          <t>fallout.wiki - Fallout 76 Perks (Endurance section)</t>
        </is>
      </c>
    </row>
    <row r="95">
      <c r="A95" s="12" t="inlineStr">
        <is>
          <t>Iron Stomach</t>
        </is>
      </c>
      <c r="B95" s="12" t="inlineStr">
        <is>
          <t>END</t>
        </is>
      </c>
      <c r="C95" s="12" t="inlineStr">
        <is>
          <t>Increased Damage and Energy Resistance based on END while not diseased</t>
        </is>
      </c>
      <c r="D95" s="12" t="inlineStr">
        <is>
          <t>formula-based, scales with END</t>
        </is>
      </c>
      <c r="E95" s="12" t="inlineStr">
        <is>
          <t>Likely</t>
        </is>
      </c>
      <c r="F95" s="12" t="inlineStr">
        <is>
          <t>fallout.wiki - Fallout 76 Perks (Endurance section)</t>
        </is>
      </c>
    </row>
    <row r="96">
      <c r="A96" s="12" t="inlineStr">
        <is>
          <t>Ironclad</t>
        </is>
      </c>
      <c r="B96" s="12" t="inlineStr">
        <is>
          <t>END</t>
        </is>
      </c>
      <c r="C96" s="12" t="inlineStr">
        <is>
          <t>Armor provides more protection; doubled if wearing a matching set</t>
        </is>
      </c>
      <c r="D96" s="12" t="inlineStr">
        <is>
          <t>+15% (30% matching set) / +20% (40% matching set) / +25% (50% matching set)</t>
        </is>
      </c>
      <c r="E96" s="12" t="inlineStr">
        <is>
          <t>Likely</t>
        </is>
      </c>
      <c r="F96" s="12" t="inlineStr">
        <is>
          <t>fallout.wiki - Fallout 76 Perks (Endurance section)</t>
        </is>
      </c>
    </row>
    <row r="97">
      <c r="A97" s="12" t="inlineStr">
        <is>
          <t>Lead Belly</t>
        </is>
      </c>
      <c r="B97" s="12" t="inlineStr">
        <is>
          <t>END</t>
        </is>
      </c>
      <c r="C97" s="12" t="inlineStr">
        <is>
          <t>Reduced radiation from eating/drinking based on END</t>
        </is>
      </c>
      <c r="D97" s="12" t="inlineStr">
        <is>
          <t>formula-based, scales with END</t>
        </is>
      </c>
      <c r="E97" s="12" t="inlineStr">
        <is>
          <t>Likely</t>
        </is>
      </c>
      <c r="F97" s="12" t="inlineStr">
        <is>
          <t>fallout.wiki - Fallout 76 Perks (Endurance section)</t>
        </is>
      </c>
    </row>
    <row r="98">
      <c r="A98" s="12" t="inlineStr">
        <is>
          <t>Life Giver</t>
        </is>
      </c>
      <c r="B98" s="12" t="inlineStr">
        <is>
          <t>END</t>
        </is>
      </c>
      <c r="C98" s="12" t="inlineStr">
        <is>
          <t>Increased max HP based on END</t>
        </is>
      </c>
      <c r="D98" s="12" t="inlineStr">
        <is>
          <t>formula-based, scales with END</t>
        </is>
      </c>
      <c r="E98" s="12" t="inlineStr">
        <is>
          <t>Likely</t>
        </is>
      </c>
      <c r="F98" s="12" t="inlineStr">
        <is>
          <t>fallout.wiki - Fallout 76 Perks (Endurance section)</t>
        </is>
      </c>
    </row>
    <row r="99">
      <c r="A99" s="12" t="inlineStr">
        <is>
          <t>Munchy Resistance</t>
        </is>
      </c>
      <c r="B99" s="12" t="inlineStr">
        <is>
          <t>END</t>
        </is>
      </c>
      <c r="C99" s="12" t="inlineStr">
        <is>
          <t>Chems restore hunger</t>
        </is>
      </c>
      <c r="D99" s="12" t="inlineStr">
        <is>
          <t>chems restore hunger / 2x hunger restoration</t>
        </is>
      </c>
      <c r="E99" s="12" t="inlineStr">
        <is>
          <t>Likely</t>
        </is>
      </c>
      <c r="F99" s="12" t="inlineStr">
        <is>
          <t>fallout.wiki - Fallout 76 Perks (Endurance section)</t>
        </is>
      </c>
    </row>
    <row r="100">
      <c r="A100" s="12" t="inlineStr">
        <is>
          <t>Natural Resistance</t>
        </is>
      </c>
      <c r="B100" s="12" t="inlineStr">
        <is>
          <t>END</t>
        </is>
      </c>
      <c r="C100" s="12" t="inlineStr">
        <is>
          <t>Increased Elemental Resistances based on END while not diseased</t>
        </is>
      </c>
      <c r="D100" s="12" t="inlineStr">
        <is>
          <t>formula-based, scales with END</t>
        </is>
      </c>
      <c r="E100" s="12" t="inlineStr">
        <is>
          <t>Likely</t>
        </is>
      </c>
      <c r="F100" s="12" t="inlineStr">
        <is>
          <t>fallout.wiki - Fallout 76 Perks (Endurance section)</t>
        </is>
      </c>
    </row>
    <row r="101">
      <c r="A101" s="12" t="inlineStr">
        <is>
          <t>Nocturnal Fortitude</t>
        </is>
      </c>
      <c r="B101" s="12" t="inlineStr">
        <is>
          <t>END</t>
        </is>
      </c>
      <c r="C101" s="12" t="inlineStr">
        <is>
          <t>Max health bonus at night (6pm-6am)</t>
        </is>
      </c>
      <c r="D101" s="12" t="inlineStr">
        <is>
          <t>+20 max HP / +40 max HP</t>
        </is>
      </c>
      <c r="E101" s="12" t="inlineStr">
        <is>
          <t>Likely</t>
        </is>
      </c>
      <c r="F101" s="12" t="inlineStr">
        <is>
          <t>fallout.wiki - Fallout 76 Perks (Endurance section)</t>
        </is>
      </c>
    </row>
    <row r="102">
      <c r="A102" s="12" t="inlineStr">
        <is>
          <t>Photosynthetic</t>
        </is>
      </c>
      <c r="B102" s="12" t="inlineStr">
        <is>
          <t>END</t>
        </is>
      </c>
      <c r="C102" s="12" t="inlineStr">
        <is>
          <t>Health regen during daytime (6am-6pm)</t>
        </is>
      </c>
      <c r="D102" s="12" t="inlineStr">
        <is>
          <t>HP regen / improved HP regen</t>
        </is>
      </c>
      <c r="E102" s="12" t="inlineStr">
        <is>
          <t>Likely</t>
        </is>
      </c>
      <c r="F102" s="12" t="inlineStr">
        <is>
          <t>fallout.wiki - Fallout 76 Perks (Endurance section)</t>
        </is>
      </c>
    </row>
    <row r="103">
      <c r="A103" s="12" t="inlineStr">
        <is>
          <t>Professional Drinker</t>
        </is>
      </c>
      <c r="B103" s="12" t="inlineStr">
        <is>
          <t>END</t>
        </is>
      </c>
      <c r="C103" s="12" t="inlineStr">
        <is>
          <t>No chance of alcohol addiction</t>
        </is>
      </c>
      <c r="D103" s="12" t="inlineStr">
        <is>
          <t>0% addiction chance from alcohol</t>
        </is>
      </c>
      <c r="E103" s="12" t="inlineStr">
        <is>
          <t>Likely</t>
        </is>
      </c>
      <c r="F103" s="12" t="inlineStr">
        <is>
          <t>fallout.wiki - Fallout 76 Perks (Endurance section)</t>
        </is>
      </c>
    </row>
    <row r="104">
      <c r="A104" s="12" t="inlineStr">
        <is>
          <t>Rad Resistant</t>
        </is>
      </c>
      <c r="B104" s="12" t="inlineStr">
        <is>
          <t>END</t>
        </is>
      </c>
      <c r="C104" s="12" t="inlineStr">
        <is>
          <t>Radiation Resistance based on END</t>
        </is>
      </c>
      <c r="D104" s="12" t="inlineStr">
        <is>
          <t>formula-based, scales with END</t>
        </is>
      </c>
      <c r="E104" s="12" t="inlineStr">
        <is>
          <t>Likely</t>
        </is>
      </c>
      <c r="F104" s="12" t="inlineStr">
        <is>
          <t>fallout.wiki - Fallout 76 Perks (Endurance section)</t>
        </is>
      </c>
    </row>
    <row r="105">
      <c r="A105" s="12" t="inlineStr">
        <is>
          <t>Radicool</t>
        </is>
      </c>
      <c r="B105" s="12" t="inlineStr">
        <is>
          <t>END</t>
        </is>
      </c>
      <c r="C105" s="12" t="inlineStr">
        <is>
          <t>Greater radiation exposure increases Strength, up to a cap</t>
        </is>
      </c>
      <c r="D105" s="12" t="inlineStr">
        <is>
          <t>up to +5 STR</t>
        </is>
      </c>
      <c r="E105" s="12" t="inlineStr">
        <is>
          <t>Likely</t>
        </is>
      </c>
      <c r="F105" s="12" t="inlineStr">
        <is>
          <t>fallout.wiki - Fallout 76 Perks (Endurance section)</t>
        </is>
      </c>
    </row>
    <row r="106">
      <c r="A106" s="12" t="inlineStr">
        <is>
          <t>Rejuvenated</t>
        </is>
      </c>
      <c r="B106" s="12" t="inlineStr">
        <is>
          <t>END</t>
        </is>
      </c>
      <c r="C106" s="12" t="inlineStr">
        <is>
          <t>Increased benefits from Well Fed/Well Hydrated status</t>
        </is>
      </c>
      <c r="D106" s="12" t="inlineStr">
        <is>
          <t>increased benefits / further increased benefits (below 10% rads)</t>
        </is>
      </c>
      <c r="E106" s="12" t="inlineStr">
        <is>
          <t>Likely</t>
        </is>
      </c>
      <c r="F106" s="12" t="inlineStr">
        <is>
          <t>fallout.wiki - Fallout 76 Perks (Endurance section)</t>
        </is>
      </c>
    </row>
    <row r="107">
      <c r="A107" s="12" t="inlineStr">
        <is>
          <t>Slow Metabolizer</t>
        </is>
      </c>
      <c r="B107" s="12" t="inlineStr">
        <is>
          <t>END</t>
        </is>
      </c>
      <c r="C107" s="12" t="inlineStr">
        <is>
          <t>Food satisfies hunger more</t>
        </is>
      </c>
      <c r="D107" s="12" t="inlineStr">
        <is>
          <t>+50% / +100%</t>
        </is>
      </c>
      <c r="E107" s="12" t="inlineStr">
        <is>
          <t>Likely</t>
        </is>
      </c>
      <c r="F107" s="12" t="inlineStr">
        <is>
          <t>fallout.wiki - Fallout 76 Perks (Endurance section)</t>
        </is>
      </c>
    </row>
    <row r="108">
      <c r="A108" s="12" t="inlineStr">
        <is>
          <t>Solar Powered</t>
        </is>
      </c>
      <c r="B108" s="12" t="inlineStr">
        <is>
          <t>END</t>
        </is>
      </c>
      <c r="C108" s="12" t="inlineStr">
        <is>
          <t>STR and END bonus during daytime (6am-6pm)</t>
        </is>
      </c>
      <c r="D108" s="12" t="inlineStr">
        <is>
          <t>+1 STR/+1 END / +2 STR/+2 END / +3 STR/+3 END</t>
        </is>
      </c>
      <c r="E108" s="12" t="inlineStr">
        <is>
          <t>Likely</t>
        </is>
      </c>
      <c r="F108" s="12" t="inlineStr">
        <is>
          <t>fallout.wiki - Fallout 76 Perks (Endurance section)</t>
        </is>
      </c>
    </row>
    <row r="109">
      <c r="A109" s="12" t="inlineStr">
        <is>
          <t>Starched Genes</t>
        </is>
      </c>
      <c r="B109" s="12" t="inlineStr">
        <is>
          <t>END</t>
        </is>
      </c>
      <c r="C109" s="12" t="inlineStr">
        <is>
          <t>Never mutate from radiation; RadAway no longer removes mutations</t>
        </is>
      </c>
      <c r="D109" s="12" t="inlineStr">
        <is>
          <t>No new rad-mutations; mutations protected from RadAway</t>
        </is>
      </c>
      <c r="E109" s="12" t="inlineStr">
        <is>
          <t>Likely</t>
        </is>
      </c>
      <c r="F109" s="12" t="inlineStr">
        <is>
          <t>fallout.wiki - Fallout 76 Perks (Endurance section)</t>
        </is>
      </c>
    </row>
    <row r="110">
      <c r="A110" s="12" t="inlineStr">
        <is>
          <t>Sun Kissed</t>
        </is>
      </c>
      <c r="B110" s="12" t="inlineStr">
        <is>
          <t>END</t>
        </is>
      </c>
      <c r="C110" s="12" t="inlineStr">
        <is>
          <t>Regenerate radiation damage during daytime (6am-6pm)</t>
        </is>
      </c>
      <c r="D110" s="12" t="inlineStr">
        <is>
          <t>slow rad regen / faster rad regen</t>
        </is>
      </c>
      <c r="E110" s="12" t="inlineStr">
        <is>
          <t>Likely</t>
        </is>
      </c>
      <c r="F110" s="12" t="inlineStr">
        <is>
          <t>fallout.wiki - Fallout 76 Perks (Endurance section)</t>
        </is>
      </c>
    </row>
    <row r="111">
      <c r="A111" s="12" t="inlineStr">
        <is>
          <t>Thirst Quencher</t>
        </is>
      </c>
      <c r="B111" s="12" t="inlineStr">
        <is>
          <t>END</t>
        </is>
      </c>
      <c r="C111" s="12" t="inlineStr">
        <is>
          <t>Increased Max AP based on END while not diseased</t>
        </is>
      </c>
      <c r="D111" s="12" t="inlineStr">
        <is>
          <t>formula-based, scales with END</t>
        </is>
      </c>
      <c r="E111" s="12" t="inlineStr">
        <is>
          <t>Likely</t>
        </is>
      </c>
      <c r="F111" s="12" t="inlineStr">
        <is>
          <t>fallout.wiki - Fallout 76 Perks (Endurance section)</t>
        </is>
      </c>
    </row>
    <row r="112">
      <c r="A112" s="12" t="inlineStr">
        <is>
          <t>Thru-hiker</t>
        </is>
      </c>
      <c r="B112" s="12" t="inlineStr">
        <is>
          <t>END</t>
        </is>
      </c>
      <c r="C112" s="12" t="inlineStr">
        <is>
          <t>Food and drink weigh less</t>
        </is>
      </c>
      <c r="D112" s="12" t="inlineStr">
        <is>
          <t>-45% / -90%</t>
        </is>
      </c>
      <c r="E112" s="12" t="inlineStr">
        <is>
          <t>Likely</t>
        </is>
      </c>
      <c r="F112" s="12" t="inlineStr">
        <is>
          <t>fallout.wiki - Fallout 76 Perks (Endurance section)</t>
        </is>
      </c>
    </row>
    <row r="113">
      <c r="A113" s="12" t="inlineStr">
        <is>
          <t>Vaccinated</t>
        </is>
      </c>
      <c r="B113" s="12" t="inlineStr">
        <is>
          <t>END</t>
        </is>
      </c>
      <c r="C113" s="12" t="inlineStr">
        <is>
          <t>Increased disease resistance based on END</t>
        </is>
      </c>
      <c r="D113" s="12" t="inlineStr">
        <is>
          <t>formula-based, scales with END</t>
        </is>
      </c>
      <c r="E113" s="12" t="inlineStr">
        <is>
          <t>Likely</t>
        </is>
      </c>
      <c r="F113" s="12" t="inlineStr">
        <is>
          <t>fallout.wiki - Fallout 76 Perks (Endurance section)</t>
        </is>
      </c>
    </row>
    <row r="114">
      <c r="A114" s="12" t="inlineStr">
        <is>
          <t>Rad Sponge</t>
        </is>
      </c>
      <c r="B114" s="12" t="inlineStr">
        <is>
          <t>END</t>
        </is>
      </c>
      <c r="C114" s="12" t="inlineStr">
        <is>
          <t>Absorb a portion of RADs taken and convert to hunger/thirst restoration (moved from Charisma to Endurance in Patch 62)</t>
        </is>
      </c>
      <c r="D114" s="12" t="inlineStr">
        <is>
          <t>Absorb 20% of RADs taken; restore hunger and thirst</t>
        </is>
      </c>
      <c r="E114" s="12" t="inlineStr">
        <is>
          <t>Likely</t>
        </is>
      </c>
      <c r="F114" s="12" t="inlineStr">
        <is>
          <t>nukaknights.com Patch 62 changelog (moved from Charisma); fallout.wiki section fetch; falloutbuilds.com roster</t>
        </is>
      </c>
    </row>
    <row r="115">
      <c r="A115" s="12" t="inlineStr">
        <is>
          <t>Chem Diet</t>
        </is>
      </c>
      <c r="B115" s="12" t="inlineStr">
        <is>
          <t>END</t>
        </is>
      </c>
      <c r="C115" s="12" t="inlineStr">
        <is>
          <t>Chems are more effective (Ghoul-exclusive)</t>
        </is>
      </c>
      <c r="D115" s="12" t="inlineStr">
        <is>
          <t>+25% / +50% / +75%</t>
        </is>
      </c>
      <c r="E115" s="12" t="inlineStr">
        <is>
          <t>Likely</t>
        </is>
      </c>
      <c r="F115" s="12" t="inlineStr">
        <is>
          <t>fallout.wiki - Fallout 76 Perks (Ghoul Endurance section)</t>
        </is>
      </c>
    </row>
    <row r="116">
      <c r="A116" s="12" t="inlineStr">
        <is>
          <t>Glowing Gut</t>
        </is>
      </c>
      <c r="B116" s="12" t="inlineStr">
        <is>
          <t>END</t>
        </is>
      </c>
      <c r="C116" s="12" t="inlineStr">
        <is>
          <t>Irradiated food/drink grant more rads, feeding Glow (Ghoul-exclusive)</t>
        </is>
      </c>
      <c r="D116" s="12" t="inlineStr">
        <is>
          <t>+100% rads / +200% rads / +300% rads</t>
        </is>
      </c>
      <c r="E116" s="12" t="inlineStr">
        <is>
          <t>Likely</t>
        </is>
      </c>
      <c r="F116" s="12" t="inlineStr">
        <is>
          <t>fallout.wiki - Fallout 76 Perks (Ghoul Endurance section)</t>
        </is>
      </c>
    </row>
    <row r="117">
      <c r="A117" s="12" t="inlineStr">
        <is>
          <t>Radiation Power</t>
        </is>
      </c>
      <c r="B117" s="12" t="inlineStr">
        <is>
          <t>END</t>
        </is>
      </c>
      <c r="C117" s="12" t="inlineStr">
        <is>
          <t>Bonus damage for Ghoul characters (Ghoul-exclusive)</t>
        </is>
      </c>
      <c r="D117" s="12" t="inlineStr">
        <is>
          <t>+10% damage / +15% damage / +20% damage</t>
        </is>
      </c>
      <c r="E117" s="12" t="inlineStr">
        <is>
          <t>Likely</t>
        </is>
      </c>
      <c r="F117" s="12" t="inlineStr">
        <is>
          <t>fallout.wiki - Fallout 76 Perks (Ghoul Endurance section)</t>
        </is>
      </c>
    </row>
    <row r="118">
      <c r="A118" s="12" t="inlineStr">
        <is>
          <t>Thick Skin</t>
        </is>
      </c>
      <c r="B118" s="12" t="inlineStr">
        <is>
          <t>END</t>
        </is>
      </c>
      <c r="C118" s="12" t="inlineStr">
        <is>
          <t>Reduced damage taken from Ballistic attacks (Ghoul-exclusive)</t>
        </is>
      </c>
      <c r="D118" s="12" t="inlineStr">
        <is>
          <t>-3% / -6% / -10%</t>
        </is>
      </c>
      <c r="E118" s="12" t="inlineStr">
        <is>
          <t>Likely</t>
        </is>
      </c>
      <c r="F118" s="12" t="inlineStr">
        <is>
          <t>fallout.wiki - Fallout 76 Perks (Ghoul Endurance section)</t>
        </is>
      </c>
    </row>
    <row r="119">
      <c r="A119" s="12" t="inlineStr">
        <is>
          <t>Animal Friend</t>
        </is>
      </c>
      <c r="B119" s="12" t="inlineStr">
        <is>
          <t>CHA</t>
        </is>
      </c>
      <c r="C119" s="12" t="inlineStr">
        <is>
          <t>Chance to pacify animals below your level</t>
        </is>
      </c>
      <c r="D119" s="12" t="inlineStr">
        <is>
          <t>25% / 50% / 75%</t>
        </is>
      </c>
      <c r="E119" s="12" t="inlineStr">
        <is>
          <t>Likely</t>
        </is>
      </c>
      <c r="F119" s="12" t="inlineStr">
        <is>
          <t>fallout.wiki - Fallout 76 Perks (Charisma section)</t>
        </is>
      </c>
    </row>
    <row r="120">
      <c r="A120" s="12" t="inlineStr">
        <is>
          <t>Anti-Epidemic</t>
        </is>
      </c>
      <c r="B120" s="12" t="inlineStr">
        <is>
          <t>CHA</t>
        </is>
      </c>
      <c r="C120" s="12" t="inlineStr">
        <is>
          <t>Disease cures have a chance (or guarantee) to cure teammates too</t>
        </is>
      </c>
      <c r="D120" s="12" t="inlineStr">
        <is>
          <t>50% chance to cure teammate disease / always cures teammate disease</t>
        </is>
      </c>
      <c r="E120" s="12" t="inlineStr">
        <is>
          <t>Likely</t>
        </is>
      </c>
      <c r="F120" s="12" t="inlineStr">
        <is>
          <t>fallout.wiki - Fallout 76 Perks (Charisma section)</t>
        </is>
      </c>
    </row>
    <row r="121">
      <c r="A121" s="12" t="inlineStr">
        <is>
          <t>Bodyguards</t>
        </is>
      </c>
      <c r="B121" s="12" t="inlineStr">
        <is>
          <t>CHA</t>
        </is>
      </c>
      <c r="C121" s="12" t="inlineStr">
        <is>
          <t>Damage and Energy Resistance bonus based on CHA and number of teammates</t>
        </is>
      </c>
      <c r="D121" s="12" t="inlineStr">
        <is>
          <t>formula-based, scales with CHA and teammate count</t>
        </is>
      </c>
      <c r="E121" s="12" t="inlineStr">
        <is>
          <t>Likely</t>
        </is>
      </c>
      <c r="F121" s="12" t="inlineStr">
        <is>
          <t>fallout.wiki - Fallout 76 Perks (Charisma section)</t>
        </is>
      </c>
    </row>
    <row r="122">
      <c r="A122" s="12" t="inlineStr">
        <is>
          <t>E.M.T.</t>
        </is>
      </c>
      <c r="B122" s="12" t="inlineStr">
        <is>
          <t>CHA</t>
        </is>
      </c>
      <c r="C122" s="12" t="inlineStr">
        <is>
          <t>Automatically revive a downed teammate periodically and grant them temporary healing boost</t>
        </is>
      </c>
      <c r="D122" s="12" t="inlineStr">
        <is>
          <t>Auto-revive every 3 min; +healing for 1 min</t>
        </is>
      </c>
      <c r="E122" s="12" t="inlineStr">
        <is>
          <t>Confirmed</t>
        </is>
      </c>
      <c r="F122" s="12" t="inlineStr">
        <is>
          <t>nukaknights.com Patch 62/PTS changelog; fallout.wiki section fetch</t>
        </is>
      </c>
    </row>
    <row r="123">
      <c r="A123" s="12" t="inlineStr">
        <is>
          <t>Friendly Fire</t>
        </is>
      </c>
      <c r="B123" s="12" t="inlineStr">
        <is>
          <t>CHA</t>
        </is>
      </c>
      <c r="C123" s="12" t="inlineStr">
        <is>
          <t>Flame weapon hits on teammates regenerate their health (escalating)</t>
        </is>
      </c>
      <c r="D123" s="12" t="inlineStr">
        <is>
          <t>small heal / more heal / most heal</t>
        </is>
      </c>
      <c r="E123" s="12" t="inlineStr">
        <is>
          <t>Likely</t>
        </is>
      </c>
      <c r="F123" s="12" t="inlineStr">
        <is>
          <t>fallout.wiki - Fallout 76 Perks (Charisma section)</t>
        </is>
      </c>
    </row>
    <row r="124">
      <c r="A124" s="12" t="inlineStr">
        <is>
          <t>Happy Camper</t>
        </is>
      </c>
      <c r="B124" s="12" t="inlineStr">
        <is>
          <t>CHA</t>
        </is>
      </c>
      <c r="C124" s="12" t="inlineStr">
        <is>
          <t>Hunger/thirst grow more slowly while in CAMP/Workshop</t>
        </is>
      </c>
      <c r="D124" s="12" t="inlineStr">
        <is>
          <t>-40% / -80%</t>
        </is>
      </c>
      <c r="E124" s="12" t="inlineStr">
        <is>
          <t>Likely</t>
        </is>
      </c>
      <c r="F124" s="12" t="inlineStr">
        <is>
          <t>fallout.wiki - Fallout 76 Perks (Charisma section)</t>
        </is>
      </c>
    </row>
    <row r="125">
      <c r="A125" s="12" t="inlineStr">
        <is>
          <t>Happy-Go-Lucky</t>
        </is>
      </c>
      <c r="B125" s="12" t="inlineStr">
        <is>
          <t>CHA</t>
        </is>
      </c>
      <c r="C125" s="12" t="inlineStr">
        <is>
          <t>Luck bonus while under the influence of alcohol</t>
        </is>
      </c>
      <c r="D125" s="12" t="inlineStr">
        <is>
          <t>+2 LCK / +3 LCK</t>
        </is>
      </c>
      <c r="E125" s="12" t="inlineStr">
        <is>
          <t>Likely</t>
        </is>
      </c>
      <c r="F125" s="12" t="inlineStr">
        <is>
          <t>fallout.wiki - Fallout 76 Perks (Charisma section)</t>
        </is>
      </c>
    </row>
    <row r="126">
      <c r="A126" s="12" t="inlineStr">
        <is>
          <t>Hard Bargain</t>
        </is>
      </c>
      <c r="B126" s="12" t="inlineStr">
        <is>
          <t>CHA</t>
        </is>
      </c>
      <c r="C126" s="12" t="inlineStr">
        <is>
          <t>Effective CHA bonus when bartering with vendors</t>
        </is>
      </c>
      <c r="D126" s="12" t="inlineStr">
        <is>
          <t>+7 CHA for bartering</t>
        </is>
      </c>
      <c r="E126" s="12" t="inlineStr">
        <is>
          <t>Likely</t>
        </is>
      </c>
      <c r="F126" s="12" t="inlineStr">
        <is>
          <t>fallout.wiki - Fallout 76 Perks (Charisma section)</t>
        </is>
      </c>
    </row>
    <row r="127">
      <c r="A127" s="12" t="inlineStr">
        <is>
          <t>Healing Hands</t>
        </is>
      </c>
      <c r="B127" s="12" t="inlineStr">
        <is>
          <t>CHA</t>
        </is>
      </c>
      <c r="C127" s="12" t="inlineStr">
        <is>
          <t>Players you revive are fully healed</t>
        </is>
      </c>
      <c r="D127" s="12" t="inlineStr">
        <is>
          <t>Full heal on revive</t>
        </is>
      </c>
      <c r="E127" s="12" t="inlineStr">
        <is>
          <t>Confirmed</t>
        </is>
      </c>
      <c r="F127" s="12" t="inlineStr">
        <is>
          <t>nukaknights.com PTS changelog; fallout.wiki section fetch</t>
        </is>
      </c>
    </row>
    <row r="128">
      <c r="A128" s="12" t="inlineStr">
        <is>
          <t>Injector</t>
        </is>
      </c>
      <c r="B128" s="12" t="inlineStr">
        <is>
          <t>CHA</t>
        </is>
      </c>
      <c r="C128" s="12" t="inlineStr">
        <is>
          <t>Players you revive gain temporary AP regen bonus</t>
        </is>
      </c>
      <c r="D128" s="12" t="inlineStr">
        <is>
          <t>+18 AP regen for 1 minute</t>
        </is>
      </c>
      <c r="E128" s="12" t="inlineStr">
        <is>
          <t>Confirmed</t>
        </is>
      </c>
      <c r="F128" s="12" t="inlineStr">
        <is>
          <t>nukaknights.com Patch 62/PTS changelog; fallout.wiki section fetch</t>
        </is>
      </c>
    </row>
    <row r="129">
      <c r="A129" s="12" t="inlineStr">
        <is>
          <t>Inspirational</t>
        </is>
      </c>
      <c r="B129" s="12" t="inlineStr">
        <is>
          <t>CHA</t>
        </is>
      </c>
      <c r="C129" s="12" t="inlineStr">
        <is>
          <t>Increased team XP based on CHA</t>
        </is>
      </c>
      <c r="D129" s="12" t="inlineStr">
        <is>
          <t>formula-based, scales with CHA</t>
        </is>
      </c>
      <c r="E129" s="12" t="inlineStr">
        <is>
          <t>Likely</t>
        </is>
      </c>
      <c r="F129" s="12" t="inlineStr">
        <is>
          <t>fallout.wiki - Fallout 76 Perks (Charisma section)</t>
        </is>
      </c>
    </row>
    <row r="130">
      <c r="A130" s="12" t="inlineStr">
        <is>
          <t>Lone Wanderer</t>
        </is>
      </c>
      <c r="B130" s="12" t="inlineStr">
        <is>
          <t>CHA</t>
        </is>
      </c>
      <c r="C130" s="12" t="inlineStr">
        <is>
          <t>Damage Resistance, Energy Resistance, and AP regen bonus based on CHA while not on a team (reworked from old 3-rank flat version)</t>
        </is>
      </c>
      <c r="D130" s="12" t="inlineStr">
        <is>
          <t>formula-based, scales with CHA; only active when not grouped with any team</t>
        </is>
      </c>
      <c r="E130" s="12" t="inlineStr">
        <is>
          <t>Confirmed</t>
        </is>
      </c>
      <c r="F130" s="12" t="inlineStr">
        <is>
          <t>WebSearch cross-check (post-Patch 1.7.16.13 rework); fallout.wiki section fetch</t>
        </is>
      </c>
    </row>
    <row r="131">
      <c r="A131" s="12" t="inlineStr">
        <is>
          <t>Magnetic Personality</t>
        </is>
      </c>
      <c r="B131" s="12" t="inlineStr">
        <is>
          <t>CHA</t>
        </is>
      </c>
      <c r="C131" s="12" t="inlineStr">
        <is>
          <t>CHA bonus per teammate</t>
        </is>
      </c>
      <c r="D131" s="12" t="inlineStr">
        <is>
          <t>+1 CHA per teammate / +2 CHA per teammate</t>
        </is>
      </c>
      <c r="E131" s="12" t="inlineStr">
        <is>
          <t>Likely</t>
        </is>
      </c>
      <c r="F131" s="12" t="inlineStr">
        <is>
          <t>fallout.wiki - Fallout 76 Perks (Charisma section)</t>
        </is>
      </c>
    </row>
    <row r="132">
      <c r="A132" s="12" t="inlineStr">
        <is>
          <t>Overly Generous</t>
        </is>
      </c>
      <c r="B132" s="12" t="inlineStr">
        <is>
          <t>CHA</t>
        </is>
      </c>
      <c r="C132" s="12" t="inlineStr">
        <is>
          <t>Inflict radiation on self to benefit team somehow (exact support mechanic)</t>
        </is>
      </c>
      <c r="D132" s="12" t="inlineStr">
        <is>
          <t>25 rads inflicted / 50 rads inflicted</t>
        </is>
      </c>
      <c r="E132" s="12" t="inlineStr">
        <is>
          <t>Unconfirmed</t>
        </is>
      </c>
      <c r="F132" s="12" t="inlineStr">
        <is>
          <t>fallout.wiki - Fallout 76 Perks (Charisma section)</t>
        </is>
      </c>
    </row>
    <row r="133">
      <c r="A133" s="12" t="inlineStr">
        <is>
          <t>Party Boy</t>
        </is>
      </c>
      <c r="B133" s="12" t="inlineStr">
        <is>
          <t>CHA</t>
        </is>
      </c>
      <c r="C133" s="12" t="inlineStr">
        <is>
          <t>Alcohol effects are more beneficial (male-presenting variant name)</t>
        </is>
      </c>
      <c r="D133" s="12" t="inlineStr">
        <is>
          <t>2x alcohol effects / 3x alcohol effects</t>
        </is>
      </c>
      <c r="E133" s="12" t="inlineStr">
        <is>
          <t>Likely</t>
        </is>
      </c>
      <c r="F133" s="12" t="inlineStr">
        <is>
          <t>fallout.wiki - Fallout 76 Perks (Charisma section); note non-standard cost progression (2,3 not 1,2)</t>
        </is>
      </c>
    </row>
    <row r="134">
      <c r="A134" s="12" t="inlineStr">
        <is>
          <t>Party Girl</t>
        </is>
      </c>
      <c r="B134" s="12" t="inlineStr">
        <is>
          <t>CHA</t>
        </is>
      </c>
      <c r="C134" s="12" t="inlineStr">
        <is>
          <t>Alcohol effects are more beneficial (female-presenting variant name, identical mechanics to Party Boy)</t>
        </is>
      </c>
      <c r="D134" s="12" t="inlineStr">
        <is>
          <t>2x alcohol effects / 3x alcohol effects</t>
        </is>
      </c>
      <c r="E134" s="12" t="inlineStr">
        <is>
          <t>Likely</t>
        </is>
      </c>
      <c r="F134" s="12" t="inlineStr">
        <is>
          <t>fallout.wiki - Fallout 76 Perks (Charisma section); note non-standard cost progression (2,3 not 1,2)</t>
        </is>
      </c>
    </row>
    <row r="135">
      <c r="A135" s="12" t="inlineStr">
        <is>
          <t>Philanthropist</t>
        </is>
      </c>
      <c r="B135" s="12" t="inlineStr">
        <is>
          <t>CHA</t>
        </is>
      </c>
      <c r="C135" s="12" t="inlineStr">
        <is>
          <t>Giving teammates food/drink restores more of their hunger/thirst (escalating)</t>
        </is>
      </c>
      <c r="D135" s="12" t="inlineStr">
        <is>
          <t>small bonus / more bonus / most bonus</t>
        </is>
      </c>
      <c r="E135" s="12" t="inlineStr">
        <is>
          <t>Likely</t>
        </is>
      </c>
      <c r="F135" s="12" t="inlineStr">
        <is>
          <t>fallout.wiki - Fallout 76 Perks (Charisma section)</t>
        </is>
      </c>
    </row>
    <row r="136">
      <c r="A136" s="12" t="inlineStr">
        <is>
          <t>Quack Surgeon</t>
        </is>
      </c>
      <c r="B136" s="12" t="inlineStr">
        <is>
          <t>CHA</t>
        </is>
      </c>
      <c r="C136" s="12" t="inlineStr">
        <is>
          <t>Can revive teammates using alcohol/liquor</t>
        </is>
      </c>
      <c r="D136" s="12" t="inlineStr">
        <is>
          <t>Revive with liquor item</t>
        </is>
      </c>
      <c r="E136" s="12" t="inlineStr">
        <is>
          <t>Likely</t>
        </is>
      </c>
      <c r="F136" s="12" t="inlineStr">
        <is>
          <t>fallout.wiki - Fallout 76 Perks (Charisma section)</t>
        </is>
      </c>
    </row>
    <row r="137">
      <c r="A137" s="12" t="inlineStr">
        <is>
          <t>Revenant</t>
        </is>
      </c>
      <c r="B137" s="12" t="inlineStr">
        <is>
          <t>CHA</t>
        </is>
      </c>
      <c r="C137" s="12" t="inlineStr">
        <is>
          <t>Players you revive deal more damage for a short time</t>
        </is>
      </c>
      <c r="D137" s="12" t="inlineStr">
        <is>
          <t>+25% damage for 2 minutes after being revived</t>
        </is>
      </c>
      <c r="E137" s="12" t="inlineStr">
        <is>
          <t>Confirmed</t>
        </is>
      </c>
      <c r="F137" s="12" t="inlineStr">
        <is>
          <t>nukaknights.com Patch 62/PTS changelog (moved from Endurance); fallout.wiki section fetch</t>
        </is>
      </c>
    </row>
    <row r="138">
      <c r="A138" s="12" t="inlineStr">
        <is>
          <t>Spiritual Healer</t>
        </is>
      </c>
      <c r="B138" s="12" t="inlineStr">
        <is>
          <t>CHA</t>
        </is>
      </c>
      <c r="C138" s="12" t="inlineStr">
        <is>
          <t>Health regen bonus, scaling</t>
        </is>
      </c>
      <c r="D138" s="12" t="inlineStr">
        <is>
          <t>formula-based HP regen</t>
        </is>
      </c>
      <c r="E138" s="12" t="inlineStr">
        <is>
          <t>Likely</t>
        </is>
      </c>
      <c r="F138" s="12" t="inlineStr">
        <is>
          <t>fallout.wiki - Fallout 76 Perks (Charisma section)</t>
        </is>
      </c>
    </row>
    <row r="139">
      <c r="A139" s="12" t="inlineStr">
        <is>
          <t>Squad Maneuvers</t>
        </is>
      </c>
      <c r="B139" s="12" t="inlineStr">
        <is>
          <t>CHA</t>
        </is>
      </c>
      <c r="C139" s="12" t="inlineStr">
        <is>
          <t>Team run speed bonus</t>
        </is>
      </c>
      <c r="D139" s="12" t="inlineStr">
        <is>
          <t>+10% / +20%</t>
        </is>
      </c>
      <c r="E139" s="12" t="inlineStr">
        <is>
          <t>Likely</t>
        </is>
      </c>
      <c r="F139" s="12" t="inlineStr">
        <is>
          <t>fallout.wiki - Fallout 76 Perks (Charisma section)</t>
        </is>
      </c>
    </row>
    <row r="140">
      <c r="A140" s="12" t="inlineStr">
        <is>
          <t>Strange In Numbers</t>
        </is>
      </c>
      <c r="B140" s="12" t="inlineStr">
        <is>
          <t>CHA</t>
        </is>
      </c>
      <c r="C140" s="12" t="inlineStr">
        <is>
          <t>Mutation effect strength bonus for team</t>
        </is>
      </c>
      <c r="D140" s="12" t="inlineStr">
        <is>
          <t>+25% mutation effect strength</t>
        </is>
      </c>
      <c r="E140" s="12" t="inlineStr">
        <is>
          <t>Likely</t>
        </is>
      </c>
      <c r="F140" s="12" t="inlineStr">
        <is>
          <t>fallout.wiki - Fallout 76 Perks (Charisma section)</t>
        </is>
      </c>
    </row>
    <row r="141">
      <c r="A141" s="12" t="inlineStr">
        <is>
          <t>Suppressor</t>
        </is>
      </c>
      <c r="B141" s="12" t="inlineStr">
        <is>
          <t>CHA</t>
        </is>
      </c>
      <c r="C141" s="12" t="inlineStr">
        <is>
          <t>Damage reduction bonus</t>
        </is>
      </c>
      <c r="D141" s="12" t="inlineStr">
        <is>
          <t>-10% / -20% / -30%</t>
        </is>
      </c>
      <c r="E141" s="12" t="inlineStr">
        <is>
          <t>Likely</t>
        </is>
      </c>
      <c r="F141" s="12" t="inlineStr">
        <is>
          <t>fallout.wiki - Fallout 76 Perks (Charisma section)</t>
        </is>
      </c>
    </row>
    <row r="142">
      <c r="A142" s="12" t="inlineStr">
        <is>
          <t>Team Medic</t>
        </is>
      </c>
      <c r="B142" s="12" t="inlineStr">
        <is>
          <t>CHA</t>
        </is>
      </c>
      <c r="C142" s="12" t="inlineStr">
        <is>
          <t>Stimpak healing radius bonus for team</t>
        </is>
      </c>
      <c r="D142" s="12" t="inlineStr">
        <is>
          <t>+50% radius / +75% radius / +100% radius</t>
        </is>
      </c>
      <c r="E142" s="12" t="inlineStr">
        <is>
          <t>Likely</t>
        </is>
      </c>
      <c r="F142" s="12" t="inlineStr">
        <is>
          <t>fallout.wiki - Fallout 76 Perks (Charisma section)</t>
        </is>
      </c>
    </row>
    <row r="143">
      <c r="A143" s="12" t="inlineStr">
        <is>
          <t>Tenderizer</t>
        </is>
      </c>
      <c r="B143" s="12" t="inlineStr">
        <is>
          <t>CHA</t>
        </is>
      </c>
      <c r="C143" s="12" t="inlineStr">
        <is>
          <t>Increases damage the target takes from your team</t>
        </is>
      </c>
      <c r="D143" s="12" t="inlineStr">
        <is>
          <t>Target takes increased damage (exact % not published)</t>
        </is>
      </c>
      <c r="E143" s="12" t="inlineStr">
        <is>
          <t>Unconfirmed</t>
        </is>
      </c>
      <c r="F143" s="12" t="inlineStr">
        <is>
          <t>fallout.wiki - Fallout 76 Perks (Charisma section)</t>
        </is>
      </c>
    </row>
    <row r="144">
      <c r="A144" s="12" t="inlineStr">
        <is>
          <t>Travel Agent</t>
        </is>
      </c>
      <c r="B144" s="12" t="inlineStr">
        <is>
          <t>CHA</t>
        </is>
      </c>
      <c r="C144" s="12" t="inlineStr">
        <is>
          <t>Can fast travel while overencumbered</t>
        </is>
      </c>
      <c r="D144" s="12" t="inlineStr">
        <is>
          <t>Fast travel while overencumbered</t>
        </is>
      </c>
      <c r="E144" s="12" t="inlineStr">
        <is>
          <t>Likely</t>
        </is>
      </c>
      <c r="F144" s="12" t="inlineStr">
        <is>
          <t>fallout.wiki - Fallout 76 Perks (Charisma section)</t>
        </is>
      </c>
    </row>
    <row r="145">
      <c r="A145" s="12" t="inlineStr">
        <is>
          <t>Wasteland Whisperer</t>
        </is>
      </c>
      <c r="B145" s="12" t="inlineStr">
        <is>
          <t>CHA</t>
        </is>
      </c>
      <c r="C145" s="12" t="inlineStr">
        <is>
          <t>Chance to pacify human enemies below your level</t>
        </is>
      </c>
      <c r="D145" s="12" t="inlineStr">
        <is>
          <t>25% / 50% / 75%</t>
        </is>
      </c>
      <c r="E145" s="12" t="inlineStr">
        <is>
          <t>Likely</t>
        </is>
      </c>
      <c r="F145" s="12" t="inlineStr">
        <is>
          <t>fallout.wiki - Fallout 76 Perks (Charisma section)</t>
        </is>
      </c>
    </row>
    <row r="146">
      <c r="A146" s="12" t="inlineStr">
        <is>
          <t>Feral Presence</t>
        </is>
      </c>
      <c r="B146" s="12" t="inlineStr">
        <is>
          <t>CHA</t>
        </is>
      </c>
      <c r="C146" s="12" t="inlineStr">
        <is>
          <t>Reduce target's damage output after you attack them (Ghoul-exclusive)</t>
        </is>
      </c>
      <c r="D146" s="12" t="inlineStr">
        <is>
          <t>-15% target damage output for 5s / -30% target damage output for 5s</t>
        </is>
      </c>
      <c r="E146" s="12" t="inlineStr">
        <is>
          <t>Likely</t>
        </is>
      </c>
      <c r="F146" s="12" t="inlineStr">
        <is>
          <t>fallout.wiki - Fallout 76 Perks (Ghoul Charisma section)</t>
        </is>
      </c>
    </row>
    <row r="147">
      <c r="A147" s="12" t="inlineStr">
        <is>
          <t>Glowing One</t>
        </is>
      </c>
      <c r="B147" s="12" t="inlineStr">
        <is>
          <t>CHA</t>
        </is>
      </c>
      <c r="C147" s="12" t="inlineStr">
        <is>
          <t>Provides Glow to nearby ghoul teammates (Ghoul-exclusive)</t>
        </is>
      </c>
      <c r="D147" s="12" t="inlineStr">
        <is>
          <t>Glow to nearby ghoul team / greater Glow to nearby ghoul team</t>
        </is>
      </c>
      <c r="E147" s="12" t="inlineStr">
        <is>
          <t>Likely</t>
        </is>
      </c>
      <c r="F147" s="12" t="inlineStr">
        <is>
          <t>fallout.wiki - Fallout 76 Perks (Ghoul Charisma section)</t>
        </is>
      </c>
    </row>
    <row r="148">
      <c r="A148" s="12" t="inlineStr">
        <is>
          <t>Moral Support</t>
        </is>
      </c>
      <c r="B148" s="12" t="inlineStr">
        <is>
          <t>CHA</t>
        </is>
      </c>
      <c r="C148" s="12" t="inlineStr">
        <is>
          <t>Become feral more slowly while on a team (Ghoul-exclusive)</t>
        </is>
      </c>
      <c r="D148" s="12" t="inlineStr">
        <is>
          <t>50% slower feral meter gain on team</t>
        </is>
      </c>
      <c r="E148" s="12" t="inlineStr">
        <is>
          <t>Likely</t>
        </is>
      </c>
      <c r="F148" s="12" t="inlineStr">
        <is>
          <t>fallout.wiki - Fallout 76 Perks (Ghoul Charisma section)</t>
        </is>
      </c>
    </row>
    <row r="149">
      <c r="A149" s="12" t="inlineStr">
        <is>
          <t>United Ordeal</t>
        </is>
      </c>
      <c r="B149" s="12" t="inlineStr">
        <is>
          <t>CHA</t>
        </is>
      </c>
      <c r="C149" s="12" t="inlineStr">
        <is>
          <t>Bonus to all SPECIAL stats for the team (Ghoul-exclusive)</t>
        </is>
      </c>
      <c r="D149" s="12" t="inlineStr">
        <is>
          <t>+1 all SPECIAL / +2 all SPECIAL / +3 all SPECIAL</t>
        </is>
      </c>
      <c r="E149" s="12" t="inlineStr">
        <is>
          <t>Likely</t>
        </is>
      </c>
      <c r="F149" s="12" t="inlineStr">
        <is>
          <t>fallout.wiki - Fallout 76 Perks (Ghoul Charisma section)</t>
        </is>
      </c>
    </row>
    <row r="150">
      <c r="A150" s="12" t="inlineStr">
        <is>
          <t>Armorer</t>
        </is>
      </c>
      <c r="B150" s="12" t="inlineStr">
        <is>
          <t>INT</t>
        </is>
      </c>
      <c r="C150" s="12" t="inlineStr">
        <is>
          <t>Improved armor durability and reduced repair material cost</t>
        </is>
      </c>
      <c r="D150" s="12" t="inlineStr">
        <is>
          <t>Improved durability, fewer repair materials</t>
        </is>
      </c>
      <c r="E150" s="12" t="inlineStr">
        <is>
          <t>Likely</t>
        </is>
      </c>
      <c r="F150" s="12" t="inlineStr">
        <is>
          <t>fallout.wiki - Fallout 76 Perks (Intelligence section)</t>
        </is>
      </c>
    </row>
    <row r="151">
      <c r="A151" s="12" t="inlineStr">
        <is>
          <t>Batteries Included</t>
        </is>
      </c>
      <c r="B151" s="12" t="inlineStr">
        <is>
          <t>INT</t>
        </is>
      </c>
      <c r="C151" s="12" t="inlineStr">
        <is>
          <t>Energy ammo (and related items) weigh less</t>
        </is>
      </c>
      <c r="D151" s="12" t="inlineStr">
        <is>
          <t>-45% / -90%</t>
        </is>
      </c>
      <c r="E151" s="12" t="inlineStr">
        <is>
          <t>Likely</t>
        </is>
      </c>
      <c r="F151" s="12" t="inlineStr">
        <is>
          <t>fallout.wiki - Fallout 76 Perks (Intelligence section)</t>
        </is>
      </c>
    </row>
    <row r="152">
      <c r="A152" s="12" t="inlineStr">
        <is>
          <t>Chemist</t>
        </is>
      </c>
      <c r="B152" s="12" t="inlineStr">
        <is>
          <t>INT</t>
        </is>
      </c>
      <c r="C152" s="12" t="inlineStr">
        <is>
          <t>Double the quantity of chems produced when crafting</t>
        </is>
      </c>
      <c r="D152" s="12" t="inlineStr">
        <is>
          <t>2x chem crafting yield</t>
        </is>
      </c>
      <c r="E152" s="12" t="inlineStr">
        <is>
          <t>Likely</t>
        </is>
      </c>
      <c r="F152" s="12" t="inlineStr">
        <is>
          <t>fallout.wiki - Fallout 76 Perks (Intelligence section)</t>
        </is>
      </c>
    </row>
    <row r="153">
      <c r="A153" s="12" t="inlineStr">
        <is>
          <t>Contractor</t>
        </is>
      </c>
      <c r="B153" s="12" t="inlineStr">
        <is>
          <t>INT</t>
        </is>
      </c>
      <c r="C153" s="12" t="inlineStr">
        <is>
          <t>Reduced material cost for CAMP building</t>
        </is>
      </c>
      <c r="D153" s="12" t="inlineStr">
        <is>
          <t>-25% / -50%</t>
        </is>
      </c>
      <c r="E153" s="12" t="inlineStr">
        <is>
          <t>Likely</t>
        </is>
      </c>
      <c r="F153" s="12" t="inlineStr">
        <is>
          <t>fallout.wiki - Fallout 76 Perks (Intelligence section)</t>
        </is>
      </c>
    </row>
    <row r="154">
      <c r="A154" s="12" t="inlineStr">
        <is>
          <t>Cryologist</t>
        </is>
      </c>
      <c r="B154" s="12" t="inlineStr">
        <is>
          <t>INT</t>
        </is>
      </c>
      <c r="C154" s="12" t="inlineStr">
        <is>
          <t>Cryo (cold) weapon damage increases based on INT</t>
        </is>
      </c>
      <c r="D154" s="12" t="inlineStr">
        <is>
          <t>formula-based, scales with INT</t>
        </is>
      </c>
      <c r="E154" s="12" t="inlineStr">
        <is>
          <t>Likely</t>
        </is>
      </c>
      <c r="F154" s="12" t="inlineStr">
        <is>
          <t>fallout.wiki - Fallout 76 Perks (Intelligence section)</t>
        </is>
      </c>
    </row>
    <row r="155">
      <c r="A155" s="12" t="inlineStr">
        <is>
          <t>Curator</t>
        </is>
      </c>
      <c r="B155" s="12" t="inlineStr">
        <is>
          <t>INT</t>
        </is>
      </c>
      <c r="C155" s="12" t="inlineStr">
        <is>
          <t>Bobblehead and Magazine effect duration doubled</t>
        </is>
      </c>
      <c r="D155" s="12" t="inlineStr">
        <is>
          <t>2x duration</t>
        </is>
      </c>
      <c r="E155" s="12" t="inlineStr">
        <is>
          <t>Likely</t>
        </is>
      </c>
      <c r="F155" s="12" t="inlineStr">
        <is>
          <t>fallout.wiki - Fallout 76 Perks (Intelligence section)</t>
        </is>
      </c>
    </row>
    <row r="156">
      <c r="A156" s="12" t="inlineStr">
        <is>
          <t>Demolition Expert</t>
        </is>
      </c>
      <c r="B156" s="12" t="inlineStr">
        <is>
          <t>INT</t>
        </is>
      </c>
      <c r="C156" s="12" t="inlineStr">
        <is>
          <t>Explosive damage bonus (grenades, mines, explosive weapons, Explosive legendary mod)</t>
        </is>
      </c>
      <c r="D156" s="12" t="inlineStr">
        <is>
          <t>+20% / +40% / +60%</t>
        </is>
      </c>
      <c r="E156" s="12" t="inlineStr">
        <is>
          <t>Confirmed</t>
        </is>
      </c>
      <c r="F156" s="12" t="inlineStr">
        <is>
          <t>fallout.wiki - Demolition Expert (Fallout 76), individually verified</t>
        </is>
      </c>
    </row>
    <row r="157">
      <c r="A157" s="12" t="inlineStr">
        <is>
          <t>Expert Hacker</t>
        </is>
      </c>
      <c r="B157" s="12" t="inlineStr">
        <is>
          <t>INT</t>
        </is>
      </c>
      <c r="C157" s="12" t="inlineStr">
        <is>
          <t>Hacking skill and reduced terminal lockout time</t>
        </is>
      </c>
      <c r="D157" s="12" t="inlineStr">
        <is>
          <t>+1 hacking skill, reduced lockout</t>
        </is>
      </c>
      <c r="E157" s="12" t="inlineStr">
        <is>
          <t>Likely</t>
        </is>
      </c>
      <c r="F157" s="12" t="inlineStr">
        <is>
          <t>fallout.wiki - Fallout 76 Perks (Intelligence section)</t>
        </is>
      </c>
    </row>
    <row r="158">
      <c r="A158" s="12" t="inlineStr">
        <is>
          <t>Field Surgeon</t>
        </is>
      </c>
      <c r="B158" s="12" t="inlineStr">
        <is>
          <t>INT</t>
        </is>
      </c>
      <c r="C158" s="12" t="inlineStr">
        <is>
          <t>Stimpaks and RadAway take effect faster</t>
        </is>
      </c>
      <c r="D158" s="12" t="inlineStr">
        <is>
          <t>60% faster healing items</t>
        </is>
      </c>
      <c r="E158" s="12" t="inlineStr">
        <is>
          <t>Likely</t>
        </is>
      </c>
      <c r="F158" s="12" t="inlineStr">
        <is>
          <t>fallout.wiki - Fallout 76 Perks (Intelligence section)</t>
        </is>
      </c>
    </row>
    <row r="159">
      <c r="A159" s="12" t="inlineStr">
        <is>
          <t>First Aid</t>
        </is>
      </c>
      <c r="B159" s="12" t="inlineStr">
        <is>
          <t>INT</t>
        </is>
      </c>
      <c r="C159" s="12" t="inlineStr">
        <is>
          <t>Stimpaks restore more HP based on INT</t>
        </is>
      </c>
      <c r="D159" s="12" t="inlineStr">
        <is>
          <t>formula-based, scales with INT</t>
        </is>
      </c>
      <c r="E159" s="12" t="inlineStr">
        <is>
          <t>Likely</t>
        </is>
      </c>
      <c r="F159" s="12" t="inlineStr">
        <is>
          <t>fallout.wiki - Fallout 76 Perks (Intelligence section)</t>
        </is>
      </c>
    </row>
    <row r="160">
      <c r="A160" s="12" t="inlineStr">
        <is>
          <t>Fix It Good</t>
        </is>
      </c>
      <c r="B160" s="12" t="inlineStr">
        <is>
          <t>INT</t>
        </is>
      </c>
      <c r="C160" s="12" t="inlineStr">
        <is>
          <t>Repair weapons/armor beyond 100% condition</t>
        </is>
      </c>
      <c r="D160" s="12" t="inlineStr">
        <is>
          <t>up to 130% / up to 160% / up to 200%</t>
        </is>
      </c>
      <c r="E160" s="12" t="inlineStr">
        <is>
          <t>Likely</t>
        </is>
      </c>
      <c r="F160" s="12" t="inlineStr">
        <is>
          <t>fallout.wiki - Fallout 76 Perks (Intelligence section)</t>
        </is>
      </c>
    </row>
    <row r="161">
      <c r="A161" s="12" t="inlineStr">
        <is>
          <t>Good With Salt</t>
        </is>
      </c>
      <c r="B161" s="12" t="inlineStr">
        <is>
          <t>INT</t>
        </is>
      </c>
      <c r="C161" s="12" t="inlineStr">
        <is>
          <t>Food spoils more slowly</t>
        </is>
      </c>
      <c r="D161" s="12" t="inlineStr">
        <is>
          <t>-45% / -90%</t>
        </is>
      </c>
      <c r="E161" s="12" t="inlineStr">
        <is>
          <t>Likely</t>
        </is>
      </c>
      <c r="F161" s="12" t="inlineStr">
        <is>
          <t>fallout.wiki - Fallout 76 Perks (Intelligence section)</t>
        </is>
      </c>
    </row>
    <row r="162">
      <c r="A162" s="12" t="inlineStr">
        <is>
          <t>Gunsmith</t>
        </is>
      </c>
      <c r="B162" s="12" t="inlineStr">
        <is>
          <t>INT</t>
        </is>
      </c>
      <c r="C162" s="12" t="inlineStr">
        <is>
          <t>Guns break more slowly</t>
        </is>
      </c>
      <c r="D162" s="12" t="inlineStr">
        <is>
          <t>-20% / -35% / -50%</t>
        </is>
      </c>
      <c r="E162" s="12" t="inlineStr">
        <is>
          <t>Likely</t>
        </is>
      </c>
      <c r="F162" s="12" t="inlineStr">
        <is>
          <t>fallout.wiki - Fallout 76 Perks (Intelligence section)</t>
        </is>
      </c>
    </row>
    <row r="163">
      <c r="A163" s="12" t="inlineStr">
        <is>
          <t>Hacker</t>
        </is>
      </c>
      <c r="B163" s="12" t="inlineStr">
        <is>
          <t>INT</t>
        </is>
      </c>
      <c r="C163" s="12" t="inlineStr">
        <is>
          <t>Hacking skill and reduced terminal lockout time (base tier)</t>
        </is>
      </c>
      <c r="D163" s="12" t="inlineStr">
        <is>
          <t>+1 hacking skill, reduced lockout</t>
        </is>
      </c>
      <c r="E163" s="12" t="inlineStr">
        <is>
          <t>Likely</t>
        </is>
      </c>
      <c r="F163" s="12" t="inlineStr">
        <is>
          <t>fallout.wiki - Fallout 76 Perks (Intelligence section)</t>
        </is>
      </c>
    </row>
    <row r="164">
      <c r="A164" s="12" t="inlineStr">
        <is>
          <t>Licensed Plumber</t>
        </is>
      </c>
      <c r="B164" s="12" t="inlineStr">
        <is>
          <t>INT</t>
        </is>
      </c>
      <c r="C164" s="12" t="inlineStr">
        <is>
          <t>Pipe weapons break more slowly</t>
        </is>
      </c>
      <c r="D164" s="12" t="inlineStr">
        <is>
          <t>-20% / -40% / -60%</t>
        </is>
      </c>
      <c r="E164" s="12" t="inlineStr">
        <is>
          <t>Likely</t>
        </is>
      </c>
      <c r="F164" s="12" t="inlineStr">
        <is>
          <t>fallout.wiki - Fallout 76 Perks (Intelligence section)</t>
        </is>
      </c>
    </row>
    <row r="165">
      <c r="A165" s="12" t="inlineStr">
        <is>
          <t>Makeshift Warrior</t>
        </is>
      </c>
      <c r="B165" s="12" t="inlineStr">
        <is>
          <t>INT</t>
        </is>
      </c>
      <c r="C165" s="12" t="inlineStr">
        <is>
          <t>Melee weapons break more slowly</t>
        </is>
      </c>
      <c r="D165" s="12" t="inlineStr">
        <is>
          <t>-40% / -60% / -80%</t>
        </is>
      </c>
      <c r="E165" s="12" t="inlineStr">
        <is>
          <t>Likely</t>
        </is>
      </c>
      <c r="F165" s="12" t="inlineStr">
        <is>
          <t>fallout.wiki - Fallout 76 Perks (Intelligence section)</t>
        </is>
      </c>
    </row>
    <row r="166">
      <c r="A166" s="12" t="inlineStr">
        <is>
          <t>Master Hacker</t>
        </is>
      </c>
      <c r="B166" s="12" t="inlineStr">
        <is>
          <t>INT</t>
        </is>
      </c>
      <c r="C166" s="12" t="inlineStr">
        <is>
          <t>Hacking skill and reduced terminal lockout time (top tier)</t>
        </is>
      </c>
      <c r="D166" s="12" t="inlineStr">
        <is>
          <t>+1 hacking skill, reduced lockout</t>
        </is>
      </c>
      <c r="E166" s="12" t="inlineStr">
        <is>
          <t>Likely</t>
        </is>
      </c>
      <c r="F166" s="12" t="inlineStr">
        <is>
          <t>fallout.wiki - Fallout 76 Perks (Intelligence section)</t>
        </is>
      </c>
    </row>
    <row r="167">
      <c r="A167" s="12" t="inlineStr">
        <is>
          <t>Nerd Rage!</t>
        </is>
      </c>
      <c r="B167" s="12" t="inlineStr">
        <is>
          <t>INT</t>
        </is>
      </c>
      <c r="C167" s="12" t="inlineStr">
        <is>
          <t>At low health, gain increased damage and AP regen</t>
        </is>
      </c>
      <c r="D167" s="12" t="inlineStr">
        <is>
          <t>Damage and AP regen boost below a health threshold</t>
        </is>
      </c>
      <c r="E167" s="12" t="inlineStr">
        <is>
          <t>Likely</t>
        </is>
      </c>
      <c r="F167" s="12" t="inlineStr">
        <is>
          <t>fallout.wiki - Fallout 76 Perks (Intelligence section)</t>
        </is>
      </c>
    </row>
    <row r="168">
      <c r="A168" s="12" t="inlineStr">
        <is>
          <t>Pharmacist</t>
        </is>
      </c>
      <c r="B168" s="12" t="inlineStr">
        <is>
          <t>INT</t>
        </is>
      </c>
      <c r="C168" s="12" t="inlineStr">
        <is>
          <t>RadAway removes more radiation</t>
        </is>
      </c>
      <c r="D168" s="12" t="inlineStr">
        <is>
          <t>Increased radiation removal</t>
        </is>
      </c>
      <c r="E168" s="12" t="inlineStr">
        <is>
          <t>Likely</t>
        </is>
      </c>
      <c r="F168" s="12" t="inlineStr">
        <is>
          <t>fallout.wiki - Fallout 76 Perks (Intelligence section)</t>
        </is>
      </c>
    </row>
    <row r="169">
      <c r="A169" s="12" t="inlineStr">
        <is>
          <t>Power Patcher</t>
        </is>
      </c>
      <c r="B169" s="12" t="inlineStr">
        <is>
          <t>INT</t>
        </is>
      </c>
      <c r="C169" s="12" t="inlineStr">
        <is>
          <t>Power Armor breaks more slowly</t>
        </is>
      </c>
      <c r="D169" s="12" t="inlineStr">
        <is>
          <t>-20% / -40% / -60%</t>
        </is>
      </c>
      <c r="E169" s="12" t="inlineStr">
        <is>
          <t>Likely</t>
        </is>
      </c>
      <c r="F169" s="12" t="inlineStr">
        <is>
          <t>fallout.wiki - Fallout 76 Perks (Intelligence section)</t>
        </is>
      </c>
    </row>
    <row r="170">
      <c r="A170" s="12" t="inlineStr">
        <is>
          <t>Power Smith</t>
        </is>
      </c>
      <c r="B170" s="12" t="inlineStr">
        <is>
          <t>INT</t>
        </is>
      </c>
      <c r="C170" s="12" t="inlineStr">
        <is>
          <t>Improved Power Armor durability</t>
        </is>
      </c>
      <c r="D170" s="12" t="inlineStr">
        <is>
          <t>Improved PA durability</t>
        </is>
      </c>
      <c r="E170" s="12" t="inlineStr">
        <is>
          <t>Likely</t>
        </is>
      </c>
      <c r="F170" s="12" t="inlineStr">
        <is>
          <t>fallout.wiki - Fallout 76 Perks (Intelligence section)</t>
        </is>
      </c>
    </row>
    <row r="171">
      <c r="A171" s="12" t="inlineStr">
        <is>
          <t>Power User</t>
        </is>
      </c>
      <c r="B171" s="12" t="inlineStr">
        <is>
          <t>INT</t>
        </is>
      </c>
      <c r="C171" s="12" t="inlineStr">
        <is>
          <t>Fusion Cores last longer</t>
        </is>
      </c>
      <c r="D171" s="12" t="inlineStr">
        <is>
          <t>+30% / +60% / +100%</t>
        </is>
      </c>
      <c r="E171" s="12" t="inlineStr">
        <is>
          <t>Likely</t>
        </is>
      </c>
      <c r="F171" s="12" t="inlineStr">
        <is>
          <t>fallout.wiki - Fallout 76 Perks (Intelligence section)</t>
        </is>
      </c>
    </row>
    <row r="172">
      <c r="A172" s="12" t="inlineStr">
        <is>
          <t>Pyro-Technician</t>
        </is>
      </c>
      <c r="B172" s="12" t="inlineStr">
        <is>
          <t>INT</t>
        </is>
      </c>
      <c r="C172" s="12" t="inlineStr">
        <is>
          <t>Fire damage increases based on INT</t>
        </is>
      </c>
      <c r="D172" s="12" t="inlineStr">
        <is>
          <t>formula-based, scales with INT</t>
        </is>
      </c>
      <c r="E172" s="12" t="inlineStr">
        <is>
          <t>Likely</t>
        </is>
      </c>
      <c r="F172" s="12" t="inlineStr">
        <is>
          <t>fallout.wiki - Fallout 76 Perks (Intelligence section)</t>
        </is>
      </c>
    </row>
    <row r="173">
      <c r="A173" s="12" t="inlineStr">
        <is>
          <t>Robotics Expert</t>
        </is>
      </c>
      <c r="B173" s="12" t="inlineStr">
        <is>
          <t>INT</t>
        </is>
      </c>
      <c r="C173" s="12" t="inlineStr">
        <is>
          <t>Chance to pacify robots below your level; also reveals robot weak points</t>
        </is>
      </c>
      <c r="D173" s="12" t="inlineStr">
        <is>
          <t>25% / 50% / 75%</t>
        </is>
      </c>
      <c r="E173" s="12" t="inlineStr">
        <is>
          <t>Likely</t>
        </is>
      </c>
      <c r="F173" s="12" t="inlineStr">
        <is>
          <t>fallout.wiki - Fallout 76 Perks (Intelligence section)</t>
        </is>
      </c>
    </row>
    <row r="174">
      <c r="A174" s="12" t="inlineStr">
        <is>
          <t>Science!</t>
        </is>
      </c>
      <c r="B174" s="12" t="inlineStr">
        <is>
          <t>INT</t>
        </is>
      </c>
      <c r="C174" s="12" t="inlineStr">
        <is>
          <t>Energy weapon damage increases based on INT (reworked from old flat 2-rank 5%/10% version)</t>
        </is>
      </c>
      <c r="D174" s="12" t="inlineStr">
        <is>
          <t>formula-based, scales with INT, reaching +50% at 100 INT</t>
        </is>
      </c>
      <c r="E174" s="12" t="inlineStr">
        <is>
          <t>Confirmed</t>
        </is>
      </c>
      <c r="F174" s="12" t="inlineStr">
        <is>
          <t>fallout.wiki - Science! (Fallout 76), individually verified</t>
        </is>
      </c>
    </row>
    <row r="175">
      <c r="A175" s="12" t="inlineStr">
        <is>
          <t>Scrapper</t>
        </is>
      </c>
      <c r="B175" s="12" t="inlineStr">
        <is>
          <t>INT</t>
        </is>
      </c>
      <c r="C175" s="12" t="inlineStr">
        <is>
          <t>Obtain more components when scrapping junk/weapons/armor</t>
        </is>
      </c>
      <c r="D175" s="12" t="inlineStr">
        <is>
          <t>Increased scrapping yield</t>
        </is>
      </c>
      <c r="E175" s="12" t="inlineStr">
        <is>
          <t>Likely</t>
        </is>
      </c>
      <c r="F175" s="12" t="inlineStr">
        <is>
          <t>fallout.wiki - Fallout 76 Perks (Intelligence section)</t>
        </is>
      </c>
    </row>
    <row r="176">
      <c r="A176" s="12" t="inlineStr">
        <is>
          <t>Stabilized</t>
        </is>
      </c>
      <c r="B176" s="12" t="inlineStr">
        <is>
          <t>INT</t>
        </is>
      </c>
      <c r="C176" s="12" t="inlineStr">
        <is>
          <t>Heavy guns (big guns) gain accuracy, doubled while in Power Armor</t>
        </is>
      </c>
      <c r="D176" s="12" t="inlineStr">
        <is>
          <t>+30% accuracy (heavy guns), +60% in Power Armor</t>
        </is>
      </c>
      <c r="E176" s="12" t="inlineStr">
        <is>
          <t>Confirmed</t>
        </is>
      </c>
      <c r="F176" s="12" t="inlineStr">
        <is>
          <t>nukaknights.com Patch 62/PTS changelog; fallout.wiki section fetch</t>
        </is>
      </c>
    </row>
    <row r="177">
      <c r="A177" s="12" t="inlineStr">
        <is>
          <t>Stable Tools</t>
        </is>
      </c>
      <c r="B177" s="12" t="inlineStr">
        <is>
          <t>INT</t>
        </is>
      </c>
      <c r="C177" s="12" t="inlineStr">
        <is>
          <t>Automatic melee weapons break more slowly</t>
        </is>
      </c>
      <c r="D177" s="12" t="inlineStr">
        <is>
          <t>-10% / -25% / -40%</t>
        </is>
      </c>
      <c r="E177" s="12" t="inlineStr">
        <is>
          <t>Likely</t>
        </is>
      </c>
      <c r="F177" s="12" t="inlineStr">
        <is>
          <t>fallout.wiki - Fallout 76 Perks (Intelligence section)</t>
        </is>
      </c>
    </row>
    <row r="178">
      <c r="A178" s="12" t="inlineStr">
        <is>
          <t>Weapon Artisan</t>
        </is>
      </c>
      <c r="B178" s="12" t="inlineStr">
        <is>
          <t>INT</t>
        </is>
      </c>
      <c r="C178" s="12" t="inlineStr">
        <is>
          <t>Repair weapons beyond 100% condition</t>
        </is>
      </c>
      <c r="D178" s="12" t="inlineStr">
        <is>
          <t>up to 130% / up to 160% / up to 200%</t>
        </is>
      </c>
      <c r="E178" s="12" t="inlineStr">
        <is>
          <t>Likely</t>
        </is>
      </c>
      <c r="F178" s="12" t="inlineStr">
        <is>
          <t>fallout.wiki - Fallout 76 Perks (Intelligence section)</t>
        </is>
      </c>
    </row>
    <row r="179">
      <c r="A179" s="12" t="inlineStr">
        <is>
          <t>White Knight</t>
        </is>
      </c>
      <c r="B179" s="12" t="inlineStr">
        <is>
          <t>INT</t>
        </is>
      </c>
      <c r="C179" s="12" t="inlineStr">
        <is>
          <t>Armor breaks more slowly</t>
        </is>
      </c>
      <c r="D179" s="12" t="inlineStr">
        <is>
          <t>-20% / -40% / -60%</t>
        </is>
      </c>
      <c r="E179" s="12" t="inlineStr">
        <is>
          <t>Likely</t>
        </is>
      </c>
      <c r="F179" s="12" t="inlineStr">
        <is>
          <t>fallout.wiki - Fallout 76 Perks (Intelligence section)</t>
        </is>
      </c>
    </row>
    <row r="180">
      <c r="A180" s="12" t="inlineStr">
        <is>
          <t>Bomb Scientist</t>
        </is>
      </c>
      <c r="B180" s="12" t="inlineStr">
        <is>
          <t>INT</t>
        </is>
      </c>
      <c r="C180" s="12" t="inlineStr">
        <is>
          <t>Grenade damage bonus (Ghoul-exclusive)</t>
        </is>
      </c>
      <c r="D180" s="12" t="inlineStr">
        <is>
          <t>+20% / +35% / +50%</t>
        </is>
      </c>
      <c r="E180" s="12" t="inlineStr">
        <is>
          <t>Likely</t>
        </is>
      </c>
      <c r="F180" s="12" t="inlineStr">
        <is>
          <t>fallout.wiki - Fallout 76 Perks (Ghoul Intelligence section)</t>
        </is>
      </c>
    </row>
    <row r="181">
      <c r="A181" s="12" t="inlineStr">
        <is>
          <t>Mad Scientist</t>
        </is>
      </c>
      <c r="B181" s="12" t="inlineStr">
        <is>
          <t>INT</t>
        </is>
      </c>
      <c r="C181" s="12" t="inlineStr">
        <is>
          <t>Energy weapon damage bonus (Ghoul-exclusive)</t>
        </is>
      </c>
      <c r="D181" s="12" t="inlineStr">
        <is>
          <t>+10% / +15% / +20%</t>
        </is>
      </c>
      <c r="E181" s="12" t="inlineStr">
        <is>
          <t>Likely</t>
        </is>
      </c>
      <c r="F181" s="12" t="inlineStr">
        <is>
          <t>fallout.wiki - Fallout 76 Perks (Ghoul Intelligence section)</t>
        </is>
      </c>
    </row>
    <row r="182">
      <c r="A182" s="12" t="inlineStr">
        <is>
          <t>Rad Specialist</t>
        </is>
      </c>
      <c r="B182" s="12" t="inlineStr">
        <is>
          <t>INT</t>
        </is>
      </c>
      <c r="C182" s="12" t="inlineStr">
        <is>
          <t>Increased Glow intake, more if wearing a matching armor set (Ghoul-exclusive)</t>
        </is>
      </c>
      <c r="D182" s="12" t="inlineStr">
        <is>
          <t>+5% Glow (10% matching set) / +10% Glow (20% matching set) / +15% Glow (30% matching set)</t>
        </is>
      </c>
      <c r="E182" s="12" t="inlineStr">
        <is>
          <t>Likely</t>
        </is>
      </c>
      <c r="F182" s="12" t="inlineStr">
        <is>
          <t>fallout.wiki - Fallout 76 Perks (Ghoul Intelligence section)</t>
        </is>
      </c>
    </row>
    <row r="183">
      <c r="A183" s="12" t="inlineStr">
        <is>
          <t>Science Monster</t>
        </is>
      </c>
      <c r="B183" s="12" t="inlineStr">
        <is>
          <t>INT</t>
        </is>
      </c>
      <c r="C183" s="12" t="inlineStr">
        <is>
          <t>Temporary damage bonus when hit (Ghoul-exclusive)</t>
        </is>
      </c>
      <c r="D183" s="12" t="inlineStr">
        <is>
          <t>+5% damage for 10s when hit / +10% damage for 10s when hit / +15% damage for 10s when hit</t>
        </is>
      </c>
      <c r="E183" s="12" t="inlineStr">
        <is>
          <t>Likely</t>
        </is>
      </c>
      <c r="F183" s="12" t="inlineStr">
        <is>
          <t>fallout.wiki - Fallout 76 Perks (Ghoul Intelligence section)</t>
        </is>
      </c>
    </row>
    <row r="184">
      <c r="A184" s="12" t="inlineStr">
        <is>
          <t>Action Boy</t>
        </is>
      </c>
      <c r="B184" s="12" t="inlineStr">
        <is>
          <t>AGI</t>
        </is>
      </c>
      <c r="C184" s="12" t="inlineStr">
        <is>
          <t>AP regenerates faster (male-presenting variant name)</t>
        </is>
      </c>
      <c r="D184" s="12" t="inlineStr">
        <is>
          <t>+15% / +30% / +45%</t>
        </is>
      </c>
      <c r="E184" s="12" t="inlineStr">
        <is>
          <t>Likely</t>
        </is>
      </c>
      <c r="F184" s="12" t="inlineStr">
        <is>
          <t>fallout.wiki - Fallout 76 Perks (Agility section)</t>
        </is>
      </c>
    </row>
    <row r="185">
      <c r="A185" s="12" t="inlineStr">
        <is>
          <t>Action Girl</t>
        </is>
      </c>
      <c r="B185" s="12" t="inlineStr">
        <is>
          <t>AGI</t>
        </is>
      </c>
      <c r="C185" s="12" t="inlineStr">
        <is>
          <t>AP regenerates faster (female-presenting variant name, identical mechanics to Action Boy)</t>
        </is>
      </c>
      <c r="D185" s="12" t="inlineStr">
        <is>
          <t>+15% / +30% / +45%</t>
        </is>
      </c>
      <c r="E185" s="12" t="inlineStr">
        <is>
          <t>Likely</t>
        </is>
      </c>
      <c r="F185" s="12" t="inlineStr">
        <is>
          <t>fallout.wiki - Fallout 76 Perks (Agility section)</t>
        </is>
      </c>
    </row>
    <row r="186">
      <c r="A186" s="12" t="inlineStr">
        <is>
          <t>Adrenaline</t>
        </is>
      </c>
      <c r="B186" s="12" t="inlineStr">
        <is>
          <t>AGI</t>
        </is>
      </c>
      <c r="C186" s="12" t="inlineStr">
        <is>
          <t>Damage bonus stacks per kill</t>
        </is>
      </c>
      <c r="D186" s="12" t="inlineStr">
        <is>
          <t>+10% damage per kill, max 10 stacks</t>
        </is>
      </c>
      <c r="E186" s="12" t="inlineStr">
        <is>
          <t>Likely</t>
        </is>
      </c>
      <c r="F186" s="12" t="inlineStr">
        <is>
          <t>fallout.wiki - Fallout 76 Perks (Agility section)</t>
        </is>
      </c>
    </row>
    <row r="187">
      <c r="A187" s="12" t="inlineStr">
        <is>
          <t>Ammosmith</t>
        </is>
      </c>
      <c r="B187" s="12" t="inlineStr">
        <is>
          <t>AGI</t>
        </is>
      </c>
      <c r="C187" s="12" t="inlineStr">
        <is>
          <t>Craft more ammo from the same materials</t>
        </is>
      </c>
      <c r="D187" s="12" t="inlineStr">
        <is>
          <t>+40% / +80%</t>
        </is>
      </c>
      <c r="E187" s="12" t="inlineStr">
        <is>
          <t>Likely</t>
        </is>
      </c>
      <c r="F187" s="12" t="inlineStr">
        <is>
          <t>fallout.wiki - Fallout 76 Perks (Agility section)</t>
        </is>
      </c>
    </row>
    <row r="188">
      <c r="A188" s="12" t="inlineStr">
        <is>
          <t>Born Survivor</t>
        </is>
      </c>
      <c r="B188" s="12" t="inlineStr">
        <is>
          <t>AGI</t>
        </is>
      </c>
      <c r="C188" s="12" t="inlineStr">
        <is>
          <t>Automatically use a Stimpak when health drops below a threshold</t>
        </is>
      </c>
      <c r="D188" s="12" t="inlineStr">
        <is>
          <t>auto-stim below 20% HP / auto-stim below 30% HP / auto-stim below 40% HP</t>
        </is>
      </c>
      <c r="E188" s="12" t="inlineStr">
        <is>
          <t>Likely</t>
        </is>
      </c>
      <c r="F188" s="12" t="inlineStr">
        <is>
          <t>fallout.wiki - Fallout 76 Perks (Agility section)</t>
        </is>
      </c>
    </row>
    <row r="189">
      <c r="A189" s="12" t="inlineStr">
        <is>
          <t>Covert Operative</t>
        </is>
      </c>
      <c r="B189" s="12" t="inlineStr">
        <is>
          <t>AGI</t>
        </is>
      </c>
      <c r="C189" s="12" t="inlineStr">
        <is>
          <t>Ranged sneak attack damage multiplier</t>
        </is>
      </c>
      <c r="D189" s="12" t="inlineStr">
        <is>
          <t>2.15x damage / 2.3x damage / 2.5x damage</t>
        </is>
      </c>
      <c r="E189" s="12" t="inlineStr">
        <is>
          <t>Confirmed</t>
        </is>
      </c>
      <c r="F189" s="12" t="inlineStr">
        <is>
          <t>fallout.wiki - Covert Operative, individually verified</t>
        </is>
      </c>
    </row>
    <row r="190">
      <c r="A190" s="12" t="inlineStr">
        <is>
          <t>Dead Man Sprinting</t>
        </is>
      </c>
      <c r="B190" s="12" t="inlineStr">
        <is>
          <t>AGI</t>
        </is>
      </c>
      <c r="C190" s="12" t="inlineStr">
        <is>
          <t>Sprint faster when health is low</t>
        </is>
      </c>
      <c r="D190" s="12" t="inlineStr">
        <is>
          <t>+10% sprint speed below 40% HP / +20% sprint speed below 50% HP</t>
        </is>
      </c>
      <c r="E190" s="12" t="inlineStr">
        <is>
          <t>Likely</t>
        </is>
      </c>
      <c r="F190" s="12" t="inlineStr">
        <is>
          <t>fallout.wiki - Fallout 76 Perks (Agility section)</t>
        </is>
      </c>
    </row>
    <row r="191">
      <c r="A191" s="12" t="inlineStr">
        <is>
          <t>Dodgy</t>
        </is>
      </c>
      <c r="B191" s="12" t="inlineStr">
        <is>
          <t>AGI</t>
        </is>
      </c>
      <c r="C191" s="12" t="inlineStr">
        <is>
          <t>Chance to evade attacks, with an AP-based cooldown</t>
        </is>
      </c>
      <c r="D191" s="12" t="inlineStr">
        <is>
          <t>+5% evade chance, AP-based cooldown</t>
        </is>
      </c>
      <c r="E191" s="12" t="inlineStr">
        <is>
          <t>Likely</t>
        </is>
      </c>
      <c r="F191" s="12" t="inlineStr">
        <is>
          <t>fallout.wiki - Fallout 76 Perks (Agility section)</t>
        </is>
      </c>
    </row>
    <row r="192">
      <c r="A192" s="12" t="inlineStr">
        <is>
          <t>Enforcer</t>
        </is>
      </c>
      <c r="B192" s="12" t="inlineStr">
        <is>
          <t>AGI</t>
        </is>
      </c>
      <c r="C192" s="12" t="inlineStr">
        <is>
          <t>Stagger chance and limb damage bonus</t>
        </is>
      </c>
      <c r="D192" s="12" t="inlineStr">
        <is>
          <t>5% stagger, +25% limb dmg / 10% stagger, +50% limb dmg / 15% stagger, +75% limb dmg</t>
        </is>
      </c>
      <c r="E192" s="12" t="inlineStr">
        <is>
          <t>Likely</t>
        </is>
      </c>
      <c r="F192" s="12" t="inlineStr">
        <is>
          <t>fallout.wiki - Fallout 76 Perks (Agility section)</t>
        </is>
      </c>
    </row>
    <row r="193">
      <c r="A193" s="12" t="inlineStr">
        <is>
          <t>Escape Artist</t>
        </is>
      </c>
      <c r="B193" s="12" t="inlineStr">
        <is>
          <t>AGI</t>
        </is>
      </c>
      <c r="C193" s="12" t="inlineStr">
        <is>
          <t>Sneaking while running no longer breaks stealth as easily; helps lose pursuing enemies</t>
        </is>
      </c>
      <c r="D193" s="12" t="inlineStr">
        <is>
          <t>Running no longer affects stealth detection as much</t>
        </is>
      </c>
      <c r="E193" s="12" t="inlineStr">
        <is>
          <t>Likely</t>
        </is>
      </c>
      <c r="F193" s="12" t="inlineStr">
        <is>
          <t>fallout.wiki - Fallout 76 Perks (Agility section)</t>
        </is>
      </c>
    </row>
    <row r="194">
      <c r="A194" s="12" t="inlineStr">
        <is>
          <t>Evasive</t>
        </is>
      </c>
      <c r="B194" s="12" t="inlineStr">
        <is>
          <t>AGI</t>
        </is>
      </c>
      <c r="C194" s="12" t="inlineStr">
        <is>
          <t>Evade chance based on AGI, while not wearing Power Armor</t>
        </is>
      </c>
      <c r="D194" s="12" t="inlineStr">
        <is>
          <t>formula-based, scales with AGI</t>
        </is>
      </c>
      <c r="E194" s="12" t="inlineStr">
        <is>
          <t>Likely</t>
        </is>
      </c>
      <c r="F194" s="12" t="inlineStr">
        <is>
          <t>fallout.wiki - Fallout 76 Perks (Agility section)</t>
        </is>
      </c>
    </row>
    <row r="195">
      <c r="A195" s="12" t="inlineStr">
        <is>
          <t>Goat Legs</t>
        </is>
      </c>
      <c r="B195" s="12" t="inlineStr">
        <is>
          <t>AGI</t>
        </is>
      </c>
      <c r="C195" s="12" t="inlineStr">
        <is>
          <t>Take no fall damage</t>
        </is>
      </c>
      <c r="D195" s="12" t="inlineStr">
        <is>
          <t>No fall damage</t>
        </is>
      </c>
      <c r="E195" s="12" t="inlineStr">
        <is>
          <t>Likely</t>
        </is>
      </c>
      <c r="F195" s="12" t="inlineStr">
        <is>
          <t>fallout.wiki - Fallout 76 Perks (Agility section)</t>
        </is>
      </c>
    </row>
    <row r="196">
      <c r="A196" s="12" t="inlineStr">
        <is>
          <t>Guerrilla</t>
        </is>
      </c>
      <c r="B196" s="12" t="inlineStr">
        <is>
          <t>AGI</t>
        </is>
      </c>
      <c r="C196" s="12" t="inlineStr">
        <is>
          <t>Ranged damage bonus to close-range enemies (reworked in place from old flat automatic pistol damage %)</t>
        </is>
      </c>
      <c r="D196" s="12" t="inlineStr">
        <is>
          <t>+10% / +15% / +20%</t>
        </is>
      </c>
      <c r="E196" s="12" t="inlineStr">
        <is>
          <t>Confirmed</t>
        </is>
      </c>
      <c r="F196" s="12" t="inlineStr">
        <is>
          <t>fallout.wiki - Guerrilla (Fallout 76), individually verified; WebSearch cross-check (Update 58 rework)</t>
        </is>
      </c>
    </row>
    <row r="197">
      <c r="A197" s="12" t="inlineStr">
        <is>
          <t>Guerrilla Expert</t>
        </is>
      </c>
      <c r="B197" s="12" t="inlineStr">
        <is>
          <t>AGI</t>
        </is>
      </c>
      <c r="C197" s="12" t="inlineStr">
        <is>
          <t>Reload speed bonus per Onslaught stack, generates stacks on hit while using automatic weapons (formerly Expert Guerrilla, flat +10/15/20% automatic pistol damage)</t>
        </is>
      </c>
      <c r="D197" s="12" t="inlineStr">
        <is>
          <t>+1% reload speed per Onslaught stack, max 3 stacks</t>
        </is>
      </c>
      <c r="E197" s="12" t="inlineStr">
        <is>
          <t>Confirmed</t>
        </is>
      </c>
      <c r="F197" s="12" t="inlineStr">
        <is>
          <t>fallout.wiki - Guerrilla Expert, individually verified</t>
        </is>
      </c>
    </row>
    <row r="198">
      <c r="A198" s="12" t="inlineStr">
        <is>
          <t>Guerrilla Master</t>
        </is>
      </c>
      <c r="B198" s="12" t="inlineStr">
        <is>
          <t>AGI</t>
        </is>
      </c>
      <c r="C198" s="12" t="inlineStr">
        <is>
          <t>Close-range ranged damage bonus per Onslaught stack, increases max stacks (formerly Master Guerrilla, which briefly had 3 ranks before being cut back to 1 rank)</t>
        </is>
      </c>
      <c r="D198" s="12" t="inlineStr">
        <is>
          <t>+5% close-range ranged damage per Onslaught stack, +5 max stacks</t>
        </is>
      </c>
      <c r="E198" s="12" t="inlineStr">
        <is>
          <t>Confirmed</t>
        </is>
      </c>
      <c r="F198" s="12" t="inlineStr">
        <is>
          <t>fallout.wiki - Guerrilla Master, individually verified (explicitly notes prior 3-rank version before Patch 1.7.18.22)</t>
        </is>
      </c>
    </row>
    <row r="199">
      <c r="A199" s="12" t="inlineStr">
        <is>
          <t>Gun Fu</t>
        </is>
      </c>
      <c r="B199" s="12" t="inlineStr">
        <is>
          <t>AGI</t>
        </is>
      </c>
      <c r="C199" s="12" t="inlineStr">
        <is>
          <t>V.A.T.S. weapon-swap attack that deals bonus damage to multiple targets</t>
        </is>
      </c>
      <c r="D199" s="12" t="inlineStr">
        <is>
          <t>+30% damage, 1 target / +60% damage, 2 targets / +90% damage, 3 targets</t>
        </is>
      </c>
      <c r="E199" s="12" t="inlineStr">
        <is>
          <t>Likely</t>
        </is>
      </c>
      <c r="F199" s="12" t="inlineStr">
        <is>
          <t>fallout.wiki - Fallout 76 Perks (Agility section)</t>
        </is>
      </c>
    </row>
    <row r="200">
      <c r="A200" s="12" t="inlineStr">
        <is>
          <t>Gun Runner</t>
        </is>
      </c>
      <c r="B200" s="12" t="inlineStr">
        <is>
          <t>AGI</t>
        </is>
      </c>
      <c r="C200" s="12" t="inlineStr">
        <is>
          <t>Sprint speed bonus while a ranged weapon is equipped</t>
        </is>
      </c>
      <c r="D200" s="12" t="inlineStr">
        <is>
          <t>+10% / +20%</t>
        </is>
      </c>
      <c r="E200" s="12" t="inlineStr">
        <is>
          <t>Likely</t>
        </is>
      </c>
      <c r="F200" s="12" t="inlineStr">
        <is>
          <t>fallout.wiki - Fallout 76 Perks (Agility section)</t>
        </is>
      </c>
    </row>
    <row r="201">
      <c r="A201" s="12" t="inlineStr">
        <is>
          <t>Gunslinger</t>
        </is>
      </c>
      <c r="B201" s="12" t="inlineStr">
        <is>
          <t>AGI</t>
        </is>
      </c>
      <c r="C201" s="12" t="inlineStr">
        <is>
          <t>Weak-spot damage bonus with non-automatic pistols (reworked in place from old flat non-automatic pistol damage %)</t>
        </is>
      </c>
      <c r="D201" s="12" t="inlineStr">
        <is>
          <t>+6% / +9% / +12%</t>
        </is>
      </c>
      <c r="E201" s="12" t="inlineStr">
        <is>
          <t>Confirmed</t>
        </is>
      </c>
      <c r="F201" s="12" t="inlineStr">
        <is>
          <t>fallout.wiki - Gunslinger (Fallout 76), individually verified</t>
        </is>
      </c>
    </row>
    <row r="202">
      <c r="A202" s="12" t="inlineStr">
        <is>
          <t>Gunslinger Expert</t>
        </is>
      </c>
      <c r="B202" s="12" t="inlineStr">
        <is>
          <t>AGI</t>
        </is>
      </c>
      <c r="C202" s="12" t="inlineStr">
        <is>
          <t>Weak-spot damage bonus per Onslaught stack (formerly Expert Gunslinger, flat +10/15/20% non-automatic pistol damage)</t>
        </is>
      </c>
      <c r="D202" s="12" t="inlineStr">
        <is>
          <t>+1% ranged weak-spot damage per Onslaught stack, max 3 stacks</t>
        </is>
      </c>
      <c r="E202" s="12" t="inlineStr">
        <is>
          <t>Confirmed</t>
        </is>
      </c>
      <c r="F202" s="12" t="inlineStr">
        <is>
          <t>fallout.wiki - Gunslinger Expert, individually verified</t>
        </is>
      </c>
    </row>
    <row r="203">
      <c r="A203" s="12" t="inlineStr">
        <is>
          <t>Gunslinger Master</t>
        </is>
      </c>
      <c r="B203" s="12" t="inlineStr">
        <is>
          <t>AGI</t>
        </is>
      </c>
      <c r="C203" s="12" t="inlineStr">
        <is>
          <t>Generates Onslaught stacks over time (reverse-Onslaught) to spend on attacks (formerly Master Gunslinger, flat +10/15/20% non-automatic pistol damage across 3 ranks)</t>
        </is>
      </c>
      <c r="D203" s="12" t="inlineStr">
        <is>
          <t>Generates Onslaught stacks over time, max 10 stacks</t>
        </is>
      </c>
      <c r="E203" s="12" t="inlineStr">
        <is>
          <t>Confirmed</t>
        </is>
      </c>
      <c r="F203" s="12" t="inlineStr">
        <is>
          <t>fallout.wiki - Gunslinger Master, individually verified</t>
        </is>
      </c>
    </row>
    <row r="204">
      <c r="A204" s="12" t="inlineStr">
        <is>
          <t>Home Defense</t>
        </is>
      </c>
      <c r="B204" s="12" t="inlineStr">
        <is>
          <t>AGI</t>
        </is>
      </c>
      <c r="C204" s="12" t="inlineStr">
        <is>
          <t>Improved trap and turret crafting quality</t>
        </is>
      </c>
      <c r="D204" s="12" t="inlineStr">
        <is>
          <t>better / advanced / expert</t>
        </is>
      </c>
      <c r="E204" s="12" t="inlineStr">
        <is>
          <t>Likely</t>
        </is>
      </c>
      <c r="F204" s="12" t="inlineStr">
        <is>
          <t>fallout.wiki - Fallout 76 Perks (Agility section)</t>
        </is>
      </c>
    </row>
    <row r="205">
      <c r="A205" s="12" t="inlineStr">
        <is>
          <t>Light Footed</t>
        </is>
      </c>
      <c r="B205" s="12" t="inlineStr">
        <is>
          <t>AGI</t>
        </is>
      </c>
      <c r="C205" s="12" t="inlineStr">
        <is>
          <t>Never trigger mines or floor-based traps while sneaking</t>
        </is>
      </c>
      <c r="D205" s="12" t="inlineStr">
        <is>
          <t>Immune to mines/floor traps while sneaking</t>
        </is>
      </c>
      <c r="E205" s="12" t="inlineStr">
        <is>
          <t>Likely</t>
        </is>
      </c>
      <c r="F205" s="12" t="inlineStr">
        <is>
          <t>fallout.wiki - Fallout 76 Perks (Agility section)</t>
        </is>
      </c>
    </row>
    <row r="206">
      <c r="A206" s="12" t="inlineStr">
        <is>
          <t>Marathoner</t>
        </is>
      </c>
      <c r="B206" s="12" t="inlineStr">
        <is>
          <t>AGI</t>
        </is>
      </c>
      <c r="C206" s="12" t="inlineStr">
        <is>
          <t>Reduced AP cost for sprinting</t>
        </is>
      </c>
      <c r="D206" s="12" t="inlineStr">
        <is>
          <t>-20% / -30% / -40%</t>
        </is>
      </c>
      <c r="E206" s="12" t="inlineStr">
        <is>
          <t>Likely</t>
        </is>
      </c>
      <c r="F206" s="12" t="inlineStr">
        <is>
          <t>fallout.wiki - Fallout 76 Perks (Agility section)</t>
        </is>
      </c>
    </row>
    <row r="207">
      <c r="A207" s="12" t="inlineStr">
        <is>
          <t>Mister Sandman</t>
        </is>
      </c>
      <c r="B207" s="12" t="inlineStr">
        <is>
          <t>AGI</t>
        </is>
      </c>
      <c r="C207" s="12" t="inlineStr">
        <is>
          <t>Silenced weapon sneak attack damage bonus</t>
        </is>
      </c>
      <c r="D207" s="12" t="inlineStr">
        <is>
          <t>+50% / +100%</t>
        </is>
      </c>
      <c r="E207" s="12" t="inlineStr">
        <is>
          <t>Likely</t>
        </is>
      </c>
      <c r="F207" s="12" t="inlineStr">
        <is>
          <t>fallout.wiki - Fallout 76 Perks (Agility section)</t>
        </is>
      </c>
    </row>
    <row r="208">
      <c r="A208" s="12" t="inlineStr">
        <is>
          <t>Modern Renegade</t>
        </is>
      </c>
      <c r="B208" s="12" t="inlineStr">
        <is>
          <t>AGI</t>
        </is>
      </c>
      <c r="C208" s="12" t="inlineStr">
        <is>
          <t>Accuracy and limb damage bonus</t>
        </is>
      </c>
      <c r="D208" s="12" t="inlineStr">
        <is>
          <t>+15% accuracy, +25% limb dmg / +30% accuracy, +50% limb dmg / +45% accuracy, +75% limb dmg</t>
        </is>
      </c>
      <c r="E208" s="12" t="inlineStr">
        <is>
          <t>Likely</t>
        </is>
      </c>
      <c r="F208" s="12" t="inlineStr">
        <is>
          <t>fallout.wiki - Fallout 76 Perks (Agility section)</t>
        </is>
      </c>
    </row>
    <row r="209">
      <c r="A209" s="12" t="inlineStr">
        <is>
          <t>Moving Target</t>
        </is>
      </c>
      <c r="B209" s="12" t="inlineStr">
        <is>
          <t>AGI</t>
        </is>
      </c>
      <c r="C209" s="12" t="inlineStr">
        <is>
          <t>Evade chance bonus while sprinting</t>
        </is>
      </c>
      <c r="D209" s="12" t="inlineStr">
        <is>
          <t>+5% / +10% / +15%</t>
        </is>
      </c>
      <c r="E209" s="12" t="inlineStr">
        <is>
          <t>Likely</t>
        </is>
      </c>
      <c r="F209" s="12" t="inlineStr">
        <is>
          <t>fallout.wiki - Fallout 76 Perks (Agility section)</t>
        </is>
      </c>
    </row>
    <row r="210">
      <c r="A210" s="12" t="inlineStr">
        <is>
          <t>Ninja</t>
        </is>
      </c>
      <c r="B210" s="12" t="inlineStr">
        <is>
          <t>AGI</t>
        </is>
      </c>
      <c r="C210" s="12" t="inlineStr">
        <is>
          <t>Sneak attack damage bonus with melee, bows, and thrown weapons (extended scope from a past melee-only version)</t>
        </is>
      </c>
      <c r="D210" s="12" t="inlineStr">
        <is>
          <t>+50% / +100%</t>
        </is>
      </c>
      <c r="E210" s="12" t="inlineStr">
        <is>
          <t>Confirmed</t>
        </is>
      </c>
      <c r="F210" s="12" t="inlineStr">
        <is>
          <t>nukaknights.com Patch 62/PTS changelog; fallout.wiki section fetch</t>
        </is>
      </c>
    </row>
    <row r="211">
      <c r="A211" s="12" t="inlineStr">
        <is>
          <t>Packin' Light</t>
        </is>
      </c>
      <c r="B211" s="12" t="inlineStr">
        <is>
          <t>AGI</t>
        </is>
      </c>
      <c r="C211" s="12" t="inlineStr">
        <is>
          <t>AP regenerates faster while not overencumbered</t>
        </is>
      </c>
      <c r="D211" s="12" t="inlineStr">
        <is>
          <t>Faster AP regen when not overencumbered</t>
        </is>
      </c>
      <c r="E211" s="12" t="inlineStr">
        <is>
          <t>Likely</t>
        </is>
      </c>
      <c r="F211" s="12" t="inlineStr">
        <is>
          <t>fallout.wiki - Fallout 76 Perks (Agility section)</t>
        </is>
      </c>
    </row>
    <row r="212">
      <c r="A212" s="12" t="inlineStr">
        <is>
          <t>Secret Agent</t>
        </is>
      </c>
      <c r="B212" s="12" t="inlineStr">
        <is>
          <t>AGI</t>
        </is>
      </c>
      <c r="C212" s="12" t="inlineStr">
        <is>
          <t>Stealth Boy duration multiplier</t>
        </is>
      </c>
      <c r="D212" s="12" t="inlineStr">
        <is>
          <t>2x / 3x / 4x</t>
        </is>
      </c>
      <c r="E212" s="12" t="inlineStr">
        <is>
          <t>Likely</t>
        </is>
      </c>
      <c r="F212" s="12" t="inlineStr">
        <is>
          <t>fallout.wiki - Fallout 76 Perks (Agility section)</t>
        </is>
      </c>
    </row>
    <row r="213">
      <c r="A213" s="12" t="inlineStr">
        <is>
          <t>Sneak</t>
        </is>
      </c>
      <c r="B213" s="12" t="inlineStr">
        <is>
          <t>AGI</t>
        </is>
      </c>
      <c r="C213" s="12" t="inlineStr">
        <is>
          <t>Harder for enemies to detect you while sneaking</t>
        </is>
      </c>
      <c r="D213" s="12" t="inlineStr">
        <is>
          <t>-25% detection / -50% detection / -75% detection</t>
        </is>
      </c>
      <c r="E213" s="12" t="inlineStr">
        <is>
          <t>Likely</t>
        </is>
      </c>
      <c r="F213" s="12" t="inlineStr">
        <is>
          <t>fallout.wiki - Fallout 76 Perks (Agility section)</t>
        </is>
      </c>
    </row>
    <row r="214">
      <c r="A214" s="12" t="inlineStr">
        <is>
          <t>Action Ghoul</t>
        </is>
      </c>
      <c r="B214" s="12" t="inlineStr">
        <is>
          <t>AGI</t>
        </is>
      </c>
      <c r="C214" s="12" t="inlineStr">
        <is>
          <t>AP regenerates faster (Ghoul-exclusive)</t>
        </is>
      </c>
      <c r="D214" s="12" t="inlineStr">
        <is>
          <t>+15% / +30% / +45%</t>
        </is>
      </c>
      <c r="E214" s="12" t="inlineStr">
        <is>
          <t>Likely</t>
        </is>
      </c>
      <c r="F214" s="12" t="inlineStr">
        <is>
          <t>fallout.wiki - Fallout 76 Perks (Ghoul Agility section)</t>
        </is>
      </c>
    </row>
    <row r="215">
      <c r="A215" s="12" t="inlineStr">
        <is>
          <t>Gun Tricks</t>
        </is>
      </c>
      <c r="B215" s="12" t="inlineStr">
        <is>
          <t>AGI</t>
        </is>
      </c>
      <c r="C215" s="12" t="inlineStr">
        <is>
          <t>Reload speed bonus (Ghoul-exclusive)</t>
        </is>
      </c>
      <c r="D215" s="12" t="inlineStr">
        <is>
          <t>+10% / +20% / +30%</t>
        </is>
      </c>
      <c r="E215" s="12" t="inlineStr">
        <is>
          <t>Likely</t>
        </is>
      </c>
      <c r="F215" s="12" t="inlineStr">
        <is>
          <t>fallout.wiki - Fallout 76 Perks (Ghoul Agility section)</t>
        </is>
      </c>
    </row>
    <row r="216">
      <c r="A216" s="12" t="inlineStr">
        <is>
          <t>Hyper Reflexes</t>
        </is>
      </c>
      <c r="B216" s="12" t="inlineStr">
        <is>
          <t>AGI</t>
        </is>
      </c>
      <c r="C216" s="12" t="inlineStr">
        <is>
          <t>Evasion chance bonus while not wearing Power Armor (Ghoul-exclusive)</t>
        </is>
      </c>
      <c r="D216" s="12" t="inlineStr">
        <is>
          <t>+10% / +15% / +20%</t>
        </is>
      </c>
      <c r="E216" s="12" t="inlineStr">
        <is>
          <t>Likely</t>
        </is>
      </c>
      <c r="F216" s="12" t="inlineStr">
        <is>
          <t>fallout.wiki - Fallout 76 Perks (Ghoul Agility section)</t>
        </is>
      </c>
    </row>
    <row r="217">
      <c r="A217" s="12" t="inlineStr">
        <is>
          <t>Jaguar Speed</t>
        </is>
      </c>
      <c r="B217" s="12" t="inlineStr">
        <is>
          <t>AGI</t>
        </is>
      </c>
      <c r="C217" s="12" t="inlineStr">
        <is>
          <t>Sprint speed bonus while not wearing Power Armor (Ghoul-exclusive)</t>
        </is>
      </c>
      <c r="D217" s="12" t="inlineStr">
        <is>
          <t>+10% / +20%</t>
        </is>
      </c>
      <c r="E217" s="12" t="inlineStr">
        <is>
          <t>Likely</t>
        </is>
      </c>
      <c r="F217" s="12" t="inlineStr">
        <is>
          <t>fallout.wiki - Fallout 76 Perks (Ghoul Agility section)</t>
        </is>
      </c>
    </row>
    <row r="218">
      <c r="A218" s="12" t="inlineStr">
        <is>
          <t>Better Criticals</t>
        </is>
      </c>
      <c r="B218" s="12" t="inlineStr">
        <is>
          <t>LCK</t>
        </is>
      </c>
      <c r="C218" s="12" t="inlineStr">
        <is>
          <t>V.A.T.S. critical hit damage bonus</t>
        </is>
      </c>
      <c r="D218" s="12" t="inlineStr">
        <is>
          <t>+50% / +75% / +100%</t>
        </is>
      </c>
      <c r="E218" s="12" t="inlineStr">
        <is>
          <t>Likely</t>
        </is>
      </c>
      <c r="F218" s="12" t="inlineStr">
        <is>
          <t>fallout.wiki - Fallout 76 Perks (Luck section)</t>
        </is>
      </c>
    </row>
    <row r="219">
      <c r="A219" s="12" t="inlineStr">
        <is>
          <t>Bloody Mess</t>
        </is>
      </c>
      <c r="B219" s="12" t="inlineStr">
        <is>
          <t>LCK</t>
        </is>
      </c>
      <c r="C219" s="12" t="inlineStr">
        <is>
          <t>Bleeding enemies you kill have a chance to explode, chance/damage scale with LCK and player level (reworked from old flat 3-rank 5/10/15% general damage bonus)</t>
        </is>
      </c>
      <c r="D219" s="12" t="inlineStr">
        <is>
          <t>Explosion chance scales with LCK; explosion damage scales with character level (exact formula not published)</t>
        </is>
      </c>
      <c r="E219" s="12" t="inlineStr">
        <is>
          <t>Confirmed</t>
        </is>
      </c>
      <c r="F219" s="12" t="inlineStr">
        <is>
          <t>fallout.wiki - Bloody Mess (Fallout 76); nukaknights.com PTS/Patch 62 changelog</t>
        </is>
      </c>
    </row>
    <row r="220">
      <c r="A220" s="12" t="inlineStr">
        <is>
          <t>Can Do!</t>
        </is>
      </c>
      <c r="B220" s="12" t="inlineStr">
        <is>
          <t>LCK</t>
        </is>
      </c>
      <c r="C220" s="12" t="inlineStr">
        <is>
          <t>Find more canned goods based on LCK</t>
        </is>
      </c>
      <c r="D220" s="12" t="inlineStr">
        <is>
          <t>formula-based, scales with LCK</t>
        </is>
      </c>
      <c r="E220" s="12" t="inlineStr">
        <is>
          <t>Likely</t>
        </is>
      </c>
      <c r="F220" s="12" t="inlineStr">
        <is>
          <t>fallout.wiki - Fallout 76 Perks (Luck section)</t>
        </is>
      </c>
    </row>
    <row r="221">
      <c r="A221" s="12" t="inlineStr">
        <is>
          <t>Cap Collector</t>
        </is>
      </c>
      <c r="B221" s="12" t="inlineStr">
        <is>
          <t>LCK</t>
        </is>
      </c>
      <c r="C221" s="12" t="inlineStr">
        <is>
          <t>Find more bottle caps based on LCK</t>
        </is>
      </c>
      <c r="D221" s="12" t="inlineStr">
        <is>
          <t>formula-based, scales with LCK</t>
        </is>
      </c>
      <c r="E221" s="12" t="inlineStr">
        <is>
          <t>Likely</t>
        </is>
      </c>
      <c r="F221" s="12" t="inlineStr">
        <is>
          <t>fallout.wiki - Fallout 76 Perks (Luck section)</t>
        </is>
      </c>
    </row>
    <row r="222">
      <c r="A222" s="12" t="inlineStr">
        <is>
          <t>Class Freak</t>
        </is>
      </c>
      <c r="B222" s="12" t="inlineStr">
        <is>
          <t>LCK</t>
        </is>
      </c>
      <c r="C222" s="12" t="inlineStr">
        <is>
          <t>Reduce negative effects of mutations</t>
        </is>
      </c>
      <c r="D222" s="12" t="inlineStr">
        <is>
          <t>-25% / -50% / -75%</t>
        </is>
      </c>
      <c r="E222" s="12" t="inlineStr">
        <is>
          <t>Likely</t>
        </is>
      </c>
      <c r="F222" s="12" t="inlineStr">
        <is>
          <t>fallout.wiki - Fallout 76 Perks (Luck section)</t>
        </is>
      </c>
    </row>
    <row r="223">
      <c r="A223" s="12" t="inlineStr">
        <is>
          <t>Critical Savvy</t>
        </is>
      </c>
      <c r="B223" s="12" t="inlineStr">
        <is>
          <t>LCK</t>
        </is>
      </c>
      <c r="C223" s="12" t="inlineStr">
        <is>
          <t>Critical hits consume less of the critical meter</t>
        </is>
      </c>
      <c r="D223" s="12" t="inlineStr">
        <is>
          <t>meter cost reduced to 85% / meter cost reduced to 70% / meter cost reduced to 55%</t>
        </is>
      </c>
      <c r="E223" s="12" t="inlineStr">
        <is>
          <t>Likely</t>
        </is>
      </c>
      <c r="F223" s="12" t="inlineStr">
        <is>
          <t>fallout.wiki - Fallout 76 Perks (Luck section)</t>
        </is>
      </c>
    </row>
    <row r="224">
      <c r="A224" s="12" t="inlineStr">
        <is>
          <t>Dry Nurse</t>
        </is>
      </c>
      <c r="B224" s="12" t="inlineStr">
        <is>
          <t>LCK</t>
        </is>
      </c>
      <c r="C224" s="12" t="inlineStr">
        <is>
          <t>Chance to not consume a Stimpak when reviving a teammate</t>
        </is>
      </c>
      <c r="D224" s="12" t="inlineStr">
        <is>
          <t>50% chance to keep Stimpak</t>
        </is>
      </c>
      <c r="E224" s="12" t="inlineStr">
        <is>
          <t>Likely</t>
        </is>
      </c>
      <c r="F224" s="12" t="inlineStr">
        <is>
          <t>fallout.wiki - Fallout 76 Perks (Luck section)</t>
        </is>
      </c>
    </row>
    <row r="225">
      <c r="A225" s="12" t="inlineStr">
        <is>
          <t>Four Leaf Clover</t>
        </is>
      </c>
      <c r="B225" s="12" t="inlineStr">
        <is>
          <t>LCK</t>
        </is>
      </c>
      <c r="C225" s="12" t="inlineStr">
        <is>
          <t>V.A.T.S. misses still contribute toward filling the critical meter</t>
        </is>
      </c>
      <c r="D225" s="12" t="inlineStr">
        <is>
          <t>Misses count toward crit meter</t>
        </is>
      </c>
      <c r="E225" s="12" t="inlineStr">
        <is>
          <t>Likely</t>
        </is>
      </c>
      <c r="F225" s="12" t="inlineStr">
        <is>
          <t>fallout.wiki - Fallout 76 Perks (Luck section)</t>
        </is>
      </c>
    </row>
    <row r="226">
      <c r="A226" s="12" t="inlineStr">
        <is>
          <t>Grim Reaper's Sprint</t>
        </is>
      </c>
      <c r="B226" s="12" t="inlineStr">
        <is>
          <t>LCK</t>
        </is>
      </c>
      <c r="C226" s="12" t="inlineStr">
        <is>
          <t>Restore Action Points on V.A.T.S. kills, based on LCK</t>
        </is>
      </c>
      <c r="D226" s="12" t="inlineStr">
        <is>
          <t>formula-based AP restoration on VATS kill</t>
        </is>
      </c>
      <c r="E226" s="12" t="inlineStr">
        <is>
          <t>Confirmed</t>
        </is>
      </c>
      <c r="F226" s="12" t="inlineStr">
        <is>
          <t>nukaknights.com Patch 62/PTS changelog; fallout.wiki section fetch</t>
        </is>
      </c>
    </row>
    <row r="227">
      <c r="A227" s="12" t="inlineStr">
        <is>
          <t>Junk Shield</t>
        </is>
      </c>
      <c r="B227" s="12" t="inlineStr">
        <is>
          <t>LCK</t>
        </is>
      </c>
      <c r="C227" s="12" t="inlineStr">
        <is>
          <t>Gain resistances based on LCK and amount of junk carried</t>
        </is>
      </c>
      <c r="D227" s="12" t="inlineStr">
        <is>
          <t>formula-based, scales with LCK and junk weight held</t>
        </is>
      </c>
      <c r="E227" s="12" t="inlineStr">
        <is>
          <t>Likely</t>
        </is>
      </c>
      <c r="F227" s="12" t="inlineStr">
        <is>
          <t>fallout.wiki - Fallout 76 Perks (Luck section)</t>
        </is>
      </c>
    </row>
    <row r="228">
      <c r="A228" s="12" t="inlineStr">
        <is>
          <t>Last Laugh</t>
        </is>
      </c>
      <c r="B228" s="12" t="inlineStr">
        <is>
          <t>LCK</t>
        </is>
      </c>
      <c r="C228" s="12" t="inlineStr">
        <is>
          <t>Drop a live grenade when you are downed</t>
        </is>
      </c>
      <c r="D228" s="12" t="inlineStr">
        <is>
          <t>Drops live grenade on being downed</t>
        </is>
      </c>
      <c r="E228" s="12" t="inlineStr">
        <is>
          <t>Likely</t>
        </is>
      </c>
      <c r="F228" s="12" t="inlineStr">
        <is>
          <t>fallout.wiki - Fallout 76 Perks (Luck section)</t>
        </is>
      </c>
    </row>
    <row r="229">
      <c r="A229" s="12" t="inlineStr">
        <is>
          <t>Luck of the Draw</t>
        </is>
      </c>
      <c r="B229" s="12" t="inlineStr">
        <is>
          <t>LCK</t>
        </is>
      </c>
      <c r="C229" s="12" t="inlineStr">
        <is>
          <t>Weapons slightly self-repair over time</t>
        </is>
      </c>
      <c r="D229" s="12" t="inlineStr">
        <is>
          <t>slight repair / more repair / greatest repair</t>
        </is>
      </c>
      <c r="E229" s="12" t="inlineStr">
        <is>
          <t>Likely</t>
        </is>
      </c>
      <c r="F229" s="12" t="inlineStr">
        <is>
          <t>fallout.wiki - Fallout 76 Perks (Luck section)</t>
        </is>
      </c>
    </row>
    <row r="230">
      <c r="A230" s="12" t="inlineStr">
        <is>
          <t>Lucky Break</t>
        </is>
      </c>
      <c r="B230" s="12" t="inlineStr">
        <is>
          <t>LCK</t>
        </is>
      </c>
      <c r="C230" s="12" t="inlineStr">
        <is>
          <t>Armor slightly self-repairs when struck</t>
        </is>
      </c>
      <c r="D230" s="12" t="inlineStr">
        <is>
          <t>slight repair / more repair / greatest repair</t>
        </is>
      </c>
      <c r="E230" s="12" t="inlineStr">
        <is>
          <t>Likely</t>
        </is>
      </c>
      <c r="F230" s="12" t="inlineStr">
        <is>
          <t>fallout.wiki - Fallout 76 Perks (Luck section)</t>
        </is>
      </c>
    </row>
    <row r="231">
      <c r="A231" s="12" t="inlineStr">
        <is>
          <t>Mysterious Savior</t>
        </is>
      </c>
      <c r="B231" s="12" t="inlineStr">
        <is>
          <t>LCK</t>
        </is>
      </c>
      <c r="C231" s="12" t="inlineStr">
        <is>
          <t>Chance to be automatically revived when downed</t>
        </is>
      </c>
      <c r="D231" s="12" t="inlineStr">
        <is>
          <t>occasional / frequent / regular</t>
        </is>
      </c>
      <c r="E231" s="12" t="inlineStr">
        <is>
          <t>Likely</t>
        </is>
      </c>
      <c r="F231" s="12" t="inlineStr">
        <is>
          <t>fallout.wiki - Fallout 76 Perks (Luck section)</t>
        </is>
      </c>
    </row>
    <row r="232">
      <c r="A232" s="12" t="inlineStr">
        <is>
          <t>Mysterious Stranger</t>
        </is>
      </c>
      <c r="B232" s="12" t="inlineStr">
        <is>
          <t>LCK</t>
        </is>
      </c>
      <c r="C232" s="12" t="inlineStr">
        <is>
          <t>Chance for an NPC ally to appear in V.A.T.S. and deal bonus damage</t>
        </is>
      </c>
      <c r="D232" s="12" t="inlineStr">
        <is>
          <t>occasional appearance / frequent appearance / constant appearance</t>
        </is>
      </c>
      <c r="E232" s="12" t="inlineStr">
        <is>
          <t>Likely</t>
        </is>
      </c>
      <c r="F232" s="12" t="inlineStr">
        <is>
          <t>fallout.wiki - Fallout 76 Perks (Luck section)</t>
        </is>
      </c>
    </row>
    <row r="233">
      <c r="A233" s="12" t="inlineStr">
        <is>
          <t>Mystery Meat</t>
        </is>
      </c>
      <c r="B233" s="12" t="inlineStr">
        <is>
          <t>LCK</t>
        </is>
      </c>
      <c r="C233" s="12" t="inlineStr">
        <is>
          <t>Using a Stimpak has a chance to generate meat</t>
        </is>
      </c>
      <c r="D233" s="12" t="inlineStr">
        <is>
          <t>may generate meat / does generate meat / excessive meat generation</t>
        </is>
      </c>
      <c r="E233" s="12" t="inlineStr">
        <is>
          <t>Likely</t>
        </is>
      </c>
      <c r="F233" s="12" t="inlineStr">
        <is>
          <t>fallout.wiki - Fallout 76 Perks (Luck section)</t>
        </is>
      </c>
    </row>
    <row r="234">
      <c r="A234" s="12" t="inlineStr">
        <is>
          <t>One Gun Army</t>
        </is>
      </c>
      <c r="B234" s="12" t="inlineStr">
        <is>
          <t>LCK</t>
        </is>
      </c>
      <c r="C234" s="12" t="inlineStr">
        <is>
          <t>Heavy gun stagger chance and limb damage bonus</t>
        </is>
      </c>
      <c r="D234" s="12" t="inlineStr">
        <is>
          <t>4% stagger, +25% limb dmg / 8% stagger, +50% limb dmg / 12% stagger, +75% limb dmg</t>
        </is>
      </c>
      <c r="E234" s="12" t="inlineStr">
        <is>
          <t>Likely</t>
        </is>
      </c>
      <c r="F234" s="12" t="inlineStr">
        <is>
          <t>fallout.wiki - Fallout 76 Perks (Luck section)</t>
        </is>
      </c>
    </row>
    <row r="235">
      <c r="A235" s="12" t="inlineStr">
        <is>
          <t>Pharma Farma</t>
        </is>
      </c>
      <c r="B235" s="12" t="inlineStr">
        <is>
          <t>LCK</t>
        </is>
      </c>
      <c r="C235" s="12" t="inlineStr">
        <is>
          <t>Find more first aid chems based on LCK</t>
        </is>
      </c>
      <c r="D235" s="12" t="inlineStr">
        <is>
          <t>formula-based, scales with LCK</t>
        </is>
      </c>
      <c r="E235" s="12" t="inlineStr">
        <is>
          <t>Likely</t>
        </is>
      </c>
      <c r="F235" s="12" t="inlineStr">
        <is>
          <t>fallout.wiki - Fallout 76 Perks (Luck section)</t>
        </is>
      </c>
    </row>
    <row r="236">
      <c r="A236" s="12" t="inlineStr">
        <is>
          <t>Psychopath</t>
        </is>
      </c>
      <c r="B236" s="12" t="inlineStr">
        <is>
          <t>LCK</t>
        </is>
      </c>
      <c r="C236" s="12" t="inlineStr">
        <is>
          <t>Hits outside V.A.T.S. refill the critical meter (reworked from old 3-rank VATS-kill-chance version)</t>
        </is>
      </c>
      <c r="D236" s="12" t="inlineStr">
        <is>
          <t>10% contribution to crit meter per non-VATS hit</t>
        </is>
      </c>
      <c r="E236" s="12" t="inlineStr">
        <is>
          <t>Confirmed</t>
        </is>
      </c>
      <c r="F236" s="12" t="inlineStr">
        <is>
          <t>WebSearch cross-check (post-Patch 1.7.21.25 rework); fallout.wiki section fetch</t>
        </is>
      </c>
    </row>
    <row r="237">
      <c r="A237" s="12" t="inlineStr">
        <is>
          <t>Quick Hands</t>
        </is>
      </c>
      <c r="B237" s="12" t="inlineStr">
        <is>
          <t>LCK</t>
        </is>
      </c>
      <c r="C237" s="12" t="inlineStr">
        <is>
          <t>Chance for an instant reload</t>
        </is>
      </c>
      <c r="D237" s="12" t="inlineStr">
        <is>
          <t>6% / 12% / 18%</t>
        </is>
      </c>
      <c r="E237" s="12" t="inlineStr">
        <is>
          <t>Likely</t>
        </is>
      </c>
      <c r="F237" s="12" t="inlineStr">
        <is>
          <t>fallout.wiki - Fallout 76 Perks (Luck section)</t>
        </is>
      </c>
    </row>
    <row r="238">
      <c r="A238" s="12" t="inlineStr">
        <is>
          <t>Ricochet</t>
        </is>
      </c>
      <c r="B238" s="12" t="inlineStr">
        <is>
          <t>LCK</t>
        </is>
      </c>
      <c r="C238" s="12" t="inlineStr">
        <is>
          <t>Chance to deflect ranged attacks based on LCK</t>
        </is>
      </c>
      <c r="D238" s="12" t="inlineStr">
        <is>
          <t>formula-based, scales with LCK</t>
        </is>
      </c>
      <c r="E238" s="12" t="inlineStr">
        <is>
          <t>Likely</t>
        </is>
      </c>
      <c r="F238" s="12" t="inlineStr">
        <is>
          <t>fallout.wiki - Fallout 76 Perks (Luck section)</t>
        </is>
      </c>
    </row>
    <row r="239">
      <c r="A239" s="12" t="inlineStr">
        <is>
          <t>Scrounger</t>
        </is>
      </c>
      <c r="B239" s="12" t="inlineStr">
        <is>
          <t>LCK</t>
        </is>
      </c>
      <c r="C239" s="12" t="inlineStr">
        <is>
          <t>Find more non-explosive ammo based on LCK</t>
        </is>
      </c>
      <c r="D239" s="12" t="inlineStr">
        <is>
          <t>formula-based, scales with LCK</t>
        </is>
      </c>
      <c r="E239" s="12" t="inlineStr">
        <is>
          <t>Likely</t>
        </is>
      </c>
      <c r="F239" s="12" t="inlineStr">
        <is>
          <t>fallout.wiki - Fallout 76 Perks (Luck section)</t>
        </is>
      </c>
    </row>
    <row r="240">
      <c r="A240" s="12" t="inlineStr">
        <is>
          <t>Serendipity</t>
        </is>
      </c>
      <c r="B240" s="12" t="inlineStr">
        <is>
          <t>LCK</t>
        </is>
      </c>
      <c r="C240" s="12" t="inlineStr">
        <is>
          <t>Chance to evade attacks when below 30% health, while not wearing Power Armor</t>
        </is>
      </c>
      <c r="D240" s="12" t="inlineStr">
        <is>
          <t>Evade chance below 30% HP</t>
        </is>
      </c>
      <c r="E240" s="12" t="inlineStr">
        <is>
          <t>Likely</t>
        </is>
      </c>
      <c r="F240" s="12" t="inlineStr">
        <is>
          <t>fallout.wiki - Fallout 76 Perks (Luck section)</t>
        </is>
      </c>
    </row>
    <row r="241">
      <c r="A241" s="12" t="inlineStr">
        <is>
          <t>Storm Chaser</t>
        </is>
      </c>
      <c r="B241" s="12" t="inlineStr">
        <is>
          <t>LCK</t>
        </is>
      </c>
      <c r="C241" s="12" t="inlineStr">
        <is>
          <t>Health regen bonus during rain or Rad Storms</t>
        </is>
      </c>
      <c r="D241" s="12" t="inlineStr">
        <is>
          <t>HP regen bonus / increased HP regen bonus</t>
        </is>
      </c>
      <c r="E241" s="12" t="inlineStr">
        <is>
          <t>Likely</t>
        </is>
      </c>
      <c r="F241" s="12" t="inlineStr">
        <is>
          <t>fallout.wiki - Fallout 76 Perks (Luck section)</t>
        </is>
      </c>
    </row>
    <row r="242">
      <c r="A242" s="12" t="inlineStr">
        <is>
          <t>Super Duper</t>
        </is>
      </c>
      <c r="B242" s="12" t="inlineStr">
        <is>
          <t>LCK</t>
        </is>
      </c>
      <c r="C242" s="12" t="inlineStr">
        <is>
          <t>Chance to craft double results</t>
        </is>
      </c>
      <c r="D242" s="12" t="inlineStr">
        <is>
          <t>10% / 20% / 30%</t>
        </is>
      </c>
      <c r="E242" s="12" t="inlineStr">
        <is>
          <t>Likely</t>
        </is>
      </c>
      <c r="F242" s="12" t="inlineStr">
        <is>
          <t>fallout.wiki - Fallout 76 Perks (Luck section)</t>
        </is>
      </c>
    </row>
    <row r="243">
      <c r="A243" s="12" t="inlineStr">
        <is>
          <t>Woodchucker</t>
        </is>
      </c>
      <c r="B243" s="12" t="inlineStr">
        <is>
          <t>LCK</t>
        </is>
      </c>
      <c r="C243" s="12" t="inlineStr">
        <is>
          <t>Harvest twice as much wood</t>
        </is>
      </c>
      <c r="D243" s="12" t="inlineStr">
        <is>
          <t>2x wood yield</t>
        </is>
      </c>
      <c r="E243" s="12" t="inlineStr">
        <is>
          <t>Likely</t>
        </is>
      </c>
      <c r="F243" s="12" t="inlineStr">
        <is>
          <t>fallout.wiki - Fallout 76 Perks (Luck section)</t>
        </is>
      </c>
    </row>
    <row r="244">
      <c r="A244" s="12" t="inlineStr">
        <is>
          <t>Battle-Genes</t>
        </is>
      </c>
      <c r="B244" s="12" t="inlineStr">
        <is>
          <t>LCK</t>
        </is>
      </c>
      <c r="C244" s="12" t="inlineStr">
        <is>
          <t>Health regen per second while in combat (Ghoul-exclusive)</t>
        </is>
      </c>
      <c r="D244" s="12" t="inlineStr">
        <is>
          <t>+2 HP/sec in combat / +4 HP/sec in combat</t>
        </is>
      </c>
      <c r="E244" s="12" t="inlineStr">
        <is>
          <t>Likely</t>
        </is>
      </c>
      <c r="F244" s="12" t="inlineStr">
        <is>
          <t>fallout.wiki - Fallout 76 Perks (Ghoul Luck section)</t>
        </is>
      </c>
    </row>
    <row r="245">
      <c r="A245" s="12" t="inlineStr">
        <is>
          <t>Faulty Spots</t>
        </is>
      </c>
      <c r="B245" s="12" t="inlineStr">
        <is>
          <t>LCK</t>
        </is>
      </c>
      <c r="C245" s="12" t="inlineStr">
        <is>
          <t>Weak-point damage bonus (Ghoul-exclusive)</t>
        </is>
      </c>
      <c r="D245" s="12" t="inlineStr">
        <is>
          <t>+15% weak point damage</t>
        </is>
      </c>
      <c r="E245" s="12" t="inlineStr">
        <is>
          <t>Likely</t>
        </is>
      </c>
      <c r="F245" s="12" t="inlineStr">
        <is>
          <t>fallout.wiki - Fallout 76 Perks (Ghoul Luck section)</t>
        </is>
      </c>
    </row>
    <row r="246">
      <c r="A246" s="12" t="inlineStr">
        <is>
          <t>Glowing Criticals</t>
        </is>
      </c>
      <c r="B246" s="12" t="inlineStr">
        <is>
          <t>LCK</t>
        </is>
      </c>
      <c r="C246" s="12" t="inlineStr">
        <is>
          <t>Critical damage bonus (Ghoul-exclusive)</t>
        </is>
      </c>
      <c r="D246" s="12" t="inlineStr">
        <is>
          <t>+20% critical bonus / +35% critical bonus / +50% bonus V.A.T.S. critical damage</t>
        </is>
      </c>
      <c r="E246" s="12" t="inlineStr">
        <is>
          <t>Likely</t>
        </is>
      </c>
      <c r="F246" s="12" t="inlineStr">
        <is>
          <t>fallout.wiki - Fallout 76 Perks (Ghoul Luck section)</t>
        </is>
      </c>
    </row>
    <row r="247">
      <c r="A247" s="12" t="inlineStr">
        <is>
          <t>Wild West Hands</t>
        </is>
      </c>
      <c r="B247" s="12" t="inlineStr">
        <is>
          <t>LCK</t>
        </is>
      </c>
      <c r="C247" s="12" t="inlineStr">
        <is>
          <t>Chance for instant magazine reload (Ghoul-exclusive)</t>
        </is>
      </c>
      <c r="D247" s="12" t="inlineStr">
        <is>
          <t>12% / 24% / 36%</t>
        </is>
      </c>
      <c r="E247" s="12" t="inlineStr">
        <is>
          <t>Likely</t>
        </is>
      </c>
      <c r="F247" s="12" t="inlineStr">
        <is>
          <t>fallout.wiki - Fallout 76 Perks (Ghoul Luck section)</t>
        </is>
      </c>
    </row>
  </sheetData>
  <autoFilter ref="A4:F247"/>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tabSelected="0" workbookViewId="0">
      <pane ySplit="3" topLeftCell="A4" activePane="bottomLeft" state="frozen"/>
      <selection pane="bottomLeft" activeCell="A1" sqref="A1"/>
    </sheetView>
  </sheetViews>
  <sheetFormatPr baseColWidth="8" defaultRowHeight="15"/>
  <cols>
    <col width="18" customWidth="1" min="1" max="1"/>
    <col width="16" customWidth="1" min="2" max="2"/>
    <col width="44" customWidth="1" min="3" max="3"/>
    <col width="30" customWidth="1" min="4" max="4"/>
    <col width="36" customWidth="1" min="5" max="5"/>
    <col width="46" customWidth="1" min="6" max="6"/>
    <col width="34" customWidth="1" min="7" max="7"/>
  </cols>
  <sheetData>
    <row r="1">
      <c r="A1" s="1" t="inlineStr">
        <is>
          <t>Legendary Effects — weapon and armor mods</t>
        </is>
      </c>
    </row>
    <row r="3">
      <c r="A3" s="6" t="inlineStr">
        <is>
          <t>Effect</t>
        </is>
      </c>
      <c r="B3" s="6" t="inlineStr">
        <is>
          <t>Star</t>
        </is>
      </c>
      <c r="C3" s="6" t="inlineStr">
        <is>
          <t>Value</t>
        </is>
      </c>
      <c r="D3" s="6" t="inlineStr">
        <is>
          <t>Additive or Multiplicative</t>
        </is>
      </c>
      <c r="E3" s="6" t="inlineStr">
        <is>
          <t>Best Use</t>
        </is>
      </c>
      <c r="F3" s="6" t="inlineStr">
        <is>
          <t>Confidence</t>
        </is>
      </c>
      <c r="G3" s="6" t="inlineStr">
        <is>
          <t>Source</t>
        </is>
      </c>
    </row>
    <row r="4">
      <c r="A4" s="12" t="inlineStr">
        <is>
          <t>Furious</t>
        </is>
      </c>
      <c r="B4" s="12" t="inlineStr">
        <is>
          <t>1 (weapon)</t>
        </is>
      </c>
      <c r="C4" s="12" t="inlineStr">
        <is>
          <t>+5% damage per Onslaught stack you currently have; +9 to your max Onslaught stack cap</t>
        </is>
      </c>
      <c r="D4" s="12" t="inlineStr">
        <is>
          <t>Additive (scales with live stack count)</t>
        </is>
      </c>
      <c r="E4" s="12" t="inlineStr">
        <is>
          <t>Any build sustaining consecutive hits on one target</t>
        </is>
      </c>
      <c r="F4" s="12" t="inlineStr">
        <is>
          <t>Confirmed</t>
        </is>
      </c>
      <c r="G4" s="12" t="inlineStr">
        <is>
          <t>Fallout 76 Wiki - Furious/Onslaught</t>
        </is>
      </c>
    </row>
    <row r="5">
      <c r="A5" s="12" t="inlineStr">
        <is>
          <t>Quad</t>
        </is>
      </c>
      <c r="B5" s="12" t="inlineStr">
        <is>
          <t>1 (weapon)</t>
        </is>
      </c>
      <c r="C5" s="12" t="inlineStr">
        <is>
          <t>4x ammo capacity (e.g. double-barrel shotgun 2→8 shells)</t>
        </is>
      </c>
      <c r="D5" s="12" t="inlineStr">
        <is>
          <t>N/A — capacity, not damage</t>
        </is>
      </c>
      <c r="E5" s="12" t="inlineStr">
        <is>
          <t>Weapons with very small native magazines</t>
        </is>
      </c>
      <c r="F5" s="12" t="inlineStr">
        <is>
          <t>Confirmed</t>
        </is>
      </c>
      <c r="G5" s="12" t="inlineStr">
        <is>
          <t>Fallout 76 Wiki</t>
        </is>
      </c>
    </row>
    <row r="6">
      <c r="A6" s="12" t="inlineStr">
        <is>
          <t>Anti-Armor</t>
        </is>
      </c>
      <c r="B6" s="12" t="inlineStr">
        <is>
          <t>1 (weapon)</t>
        </is>
      </c>
      <c r="C6" s="12" t="inlineStr">
        <is>
          <t>+50% armor penetration</t>
        </is>
      </c>
      <c r="D6" s="12" t="inlineStr">
        <is>
          <t>Multiplicative with other penetration sources (e.g. Tank Killer) — confirmed this session</t>
        </is>
      </c>
      <c r="E6" s="12" t="inlineStr">
        <is>
          <t>One of the strongest general-purpose 1-star picks; competes with Furious/Quad for the same slot</t>
        </is>
      </c>
      <c r="F6" s="12" t="inlineStr">
        <is>
          <t>Confirmed</t>
        </is>
      </c>
      <c r="G6" s="12" t="inlineStr">
        <is>
          <t>Fallout 76 Wiki - Anti-Armor</t>
        </is>
      </c>
    </row>
    <row r="7">
      <c r="A7" s="12" t="inlineStr">
        <is>
          <t>Rapid</t>
        </is>
      </c>
      <c r="B7" s="12" t="inlineStr">
        <is>
          <t>2 (weapon)</t>
        </is>
      </c>
      <c r="C7" s="12" t="inlineStr">
        <is>
          <t>~+25% fire rate</t>
        </is>
      </c>
      <c r="D7" s="12" t="inlineStr">
        <is>
          <t>Multiplicative (rate of fire, not per-shot damage)</t>
        </is>
      </c>
      <c r="E7" s="12" t="inlineStr">
        <is>
          <t>Weapons with ammo/handling headroom to spend on more shots</t>
        </is>
      </c>
      <c r="F7" s="12" t="inlineStr">
        <is>
          <t>Confirmed</t>
        </is>
      </c>
      <c r="G7" s="12" t="inlineStr">
        <is>
          <t>Fallout 76 Wiki</t>
        </is>
      </c>
    </row>
    <row r="8">
      <c r="A8" s="12" t="inlineStr">
        <is>
          <t>Vital</t>
        </is>
      </c>
      <c r="B8" s="12" t="inlineStr">
        <is>
          <t>2 (weapon)</t>
        </is>
      </c>
      <c r="C8" s="12" t="inlineStr">
        <is>
          <t>+50% critical damage</t>
        </is>
      </c>
      <c r="D8" s="12" t="inlineStr">
        <is>
          <t>Additive, into the crit-damage multiplier</t>
        </is>
      </c>
      <c r="E8" s="12" t="inlineStr">
        <is>
          <t>VATS crit builds</t>
        </is>
      </c>
      <c r="F8" s="12" t="inlineStr">
        <is>
          <t>Confirmed</t>
        </is>
      </c>
      <c r="G8" s="12" t="inlineStr">
        <is>
          <t>Fallout 76 Wiki</t>
        </is>
      </c>
    </row>
    <row r="9">
      <c r="A9" s="12" t="inlineStr">
        <is>
          <t>Explosive</t>
        </is>
      </c>
      <c r="B9" s="12" t="inlineStr">
        <is>
          <t>2 (weapon)</t>
        </is>
      </c>
      <c r="C9" s="12" t="inlineStr">
        <is>
          <t>Adds an explosion worth 20% of the weapon's damage</t>
        </is>
      </c>
      <c r="D9" s="12" t="inlineStr">
        <is>
          <t>Separate damage instance, not multiplicative with the direct hit</t>
        </is>
      </c>
      <c r="E9" s="12" t="inlineStr">
        <is>
          <t>Weapons you want to add AOE chip damage to</t>
        </is>
      </c>
      <c r="F9" s="12" t="inlineStr">
        <is>
          <t>Confirmed</t>
        </is>
      </c>
      <c r="G9" s="12" t="inlineStr">
        <is>
          <t>Fallout 76 Wiki</t>
        </is>
      </c>
    </row>
    <row r="10">
      <c r="A10" s="12" t="inlineStr">
        <is>
          <t>Lucky Hit</t>
        </is>
      </c>
      <c r="B10" s="12" t="inlineStr">
        <is>
          <t>3 (weapon)</t>
        </is>
      </c>
      <c r="C10" s="12" t="inlineStr">
        <is>
          <t>Increases Critical Meter fill per hit</t>
        </is>
      </c>
      <c r="D10" s="12" t="inlineStr">
        <is>
          <t>Resource gain, not damage</t>
        </is>
      </c>
      <c r="E10" s="12" t="inlineStr">
        <is>
          <t>Sustained VATS crit builds</t>
        </is>
      </c>
      <c r="F10" s="12" t="inlineStr">
        <is>
          <t>Confirmed</t>
        </is>
      </c>
      <c r="G10" s="12" t="inlineStr">
        <is>
          <t>Fallout 76 Wiki</t>
        </is>
      </c>
    </row>
    <row r="11">
      <c r="A11" s="12" t="inlineStr">
        <is>
          <t>V.A.T.S. Optimized</t>
        </is>
      </c>
      <c r="B11" s="12" t="inlineStr">
        <is>
          <t>3 (weapon)</t>
        </is>
      </c>
      <c r="C11" s="12" t="inlineStr">
        <is>
          <t>-35% AP cost per VATS shot (~54% more shots per full AP bar)</t>
        </is>
      </c>
      <c r="D11" s="12" t="inlineStr">
        <is>
          <t>Multiplicative (AP cost, not damage)</t>
        </is>
      </c>
      <c r="E11" s="12" t="inlineStr">
        <is>
          <t>Any VATS-heavy build that is AP-limited rather than ammo/reload-limited</t>
        </is>
      </c>
      <c r="F11" s="12" t="inlineStr">
        <is>
          <t>Confirmed</t>
        </is>
      </c>
      <c r="G11" s="12" t="inlineStr">
        <is>
          <t>Fallout 76 Wiki</t>
        </is>
      </c>
    </row>
    <row r="12">
      <c r="A12" s="12" t="inlineStr">
        <is>
          <t>Swift</t>
        </is>
      </c>
      <c r="B12" s="12" t="inlineStr">
        <is>
          <t>3 (weapon)</t>
        </is>
      </c>
      <c r="C12" s="12" t="inlineStr">
        <is>
          <t>+15% reload speed</t>
        </is>
      </c>
      <c r="D12" s="12" t="inlineStr">
        <is>
          <t>Multiplicative (reload time)</t>
        </is>
      </c>
      <c r="E12" s="12" t="inlineStr">
        <is>
          <t>Weapons whose sustained DPS is reload-bottlenecked rather than AP-bottlenecked</t>
        </is>
      </c>
      <c r="F12" s="12" t="inlineStr">
        <is>
          <t>Confirmed</t>
        </is>
      </c>
      <c r="G12" s="12" t="inlineStr">
        <is>
          <t>Fallout 76 Wiki</t>
        </is>
      </c>
    </row>
    <row r="13">
      <c r="A13" s="12" t="inlineStr">
        <is>
          <t>Conductor's</t>
        </is>
      </c>
      <c r="B13" s="12" t="inlineStr">
        <is>
          <t>4 (weapon)</t>
        </is>
      </c>
      <c r="C13" s="12" t="inlineStr">
        <is>
          <t>On crit: restore 10 HP + 10 AP instantly, plus 100 more of each over 5 sec, to you and teammates within 100 ft</t>
        </is>
      </c>
      <c r="D13" s="12" t="inlineStr">
        <is>
          <t>Resource restore — adds no damage</t>
        </is>
      </c>
      <c r="E13" s="12" t="inlineStr">
        <is>
          <t>Team play</t>
        </is>
      </c>
      <c r="F13" s="12" t="inlineStr">
        <is>
          <t>Confirmed</t>
        </is>
      </c>
      <c r="G13" s="12" t="inlineStr">
        <is>
          <t>Fallout 76 Wiki</t>
        </is>
      </c>
    </row>
    <row r="14">
      <c r="A14" s="12" t="inlineStr">
        <is>
          <t>Pin-Pointer's</t>
        </is>
      </c>
      <c r="B14" s="12" t="inlineStr">
        <is>
          <t>4 (weapon)</t>
        </is>
      </c>
      <c r="C14" s="12" t="inlineStr">
        <is>
          <t>+20% weak-spot damage (head and limbs, not torso)</t>
        </is>
      </c>
      <c r="D14" s="12" t="inlineStr">
        <is>
          <t>Likely multiplicative with other damage sources</t>
        </is>
      </c>
      <c r="E14" s="12" t="inlineStr">
        <is>
          <t>VATS crit / cripple builds</t>
        </is>
      </c>
      <c r="F14" s="12" t="inlineStr">
        <is>
          <t>Confirmed value (some older posts cite +50%, outdated/incorrect); Likely multiplicative stacking</t>
        </is>
      </c>
      <c r="G14" s="12" t="inlineStr">
        <is>
          <t>Fallout 76 Wiki; player testing</t>
        </is>
      </c>
    </row>
    <row r="15">
      <c r="A15" s="12" t="inlineStr">
        <is>
          <t>Bully's</t>
        </is>
      </c>
      <c r="B15" s="12" t="inlineStr">
        <is>
          <t>4 (weapon)</t>
        </is>
      </c>
      <c r="C15" s="12" t="inlineStr">
        <is>
          <t>+25% damage per crippled limb on target</t>
        </is>
      </c>
      <c r="D15" s="12" t="inlineStr">
        <is>
          <t>Likely additive, into DamageBonus</t>
        </is>
      </c>
      <c r="E15" s="12" t="inlineStr">
        <is>
          <t>Cripple builds</t>
        </is>
      </c>
      <c r="F15" s="12" t="inlineStr">
        <is>
          <t>Confirmed value; Unconfirmed VATS gating (some descriptions show an 'outside VATS only' qualifier)</t>
        </is>
      </c>
      <c r="G15" s="12" t="inlineStr">
        <is>
          <t>Fallout 76 Wiki; conflicting community reports</t>
        </is>
      </c>
    </row>
    <row r="16">
      <c r="A16" s="12" t="inlineStr">
        <is>
          <t>Severing</t>
        </is>
      </c>
      <c r="B16" s="12" t="inlineStr">
        <is>
          <t>4 (weapon)</t>
        </is>
      </c>
      <c r="C16" s="12" t="inlineStr">
        <is>
          <t>+50% damage vs Bleeding targets</t>
        </is>
      </c>
      <c r="D16" s="12" t="inlineStr">
        <is>
          <t>Likely additive, same family as Wound Salter/Pyromaniac's</t>
        </is>
      </c>
      <c r="E16" s="12" t="inlineStr">
        <is>
          <t>Bleed-stacking builds</t>
        </is>
      </c>
      <c r="F16" s="12" t="inlineStr">
        <is>
          <t>Confirmed (value + patch, new in The Slasher Sept 2026); Likely (additive stacking)</t>
        </is>
      </c>
      <c r="G16" s="12" t="inlineStr">
        <is>
          <t>Bethesda - The Slasher release notes; nukesdragons.com</t>
        </is>
      </c>
    </row>
    <row r="17">
      <c r="A17" s="12" t="inlineStr">
        <is>
          <t>Polished</t>
        </is>
      </c>
      <c r="B17" s="12" t="inlineStr">
        <is>
          <t>4 (weapon)</t>
        </is>
      </c>
      <c r="C17" s="12" t="inlineStr">
        <is>
          <t>Up to +60% damage as condition rises above 100%, caps at 190% condition</t>
        </is>
      </c>
      <c r="D17" s="12" t="inlineStr">
        <is>
          <t>Additive, scales with repair/condition level</t>
        </is>
      </c>
      <c r="E17" s="12" t="inlineStr">
        <is>
          <t>Weapons you keep repaired above 100% condition</t>
        </is>
      </c>
      <c r="F17" s="12" t="inlineStr">
        <is>
          <t>Confirmed</t>
        </is>
      </c>
      <c r="G17" s="12" t="inlineStr">
        <is>
          <t>Fallout 76 Wiki; community testing</t>
        </is>
      </c>
    </row>
    <row r="18">
      <c r="A18" s="12" t="inlineStr">
        <is>
          <t>Tarnished</t>
        </is>
      </c>
      <c r="B18" s="12" t="inlineStr">
        <is>
          <t>4 (weapon)</t>
        </is>
      </c>
      <c r="C18" s="12" t="inlineStr">
        <is>
          <t>Up to +120% damage as durability decreases</t>
        </is>
      </c>
      <c r="D18" s="12" t="inlineStr">
        <is>
          <t>Additive, inverse of Polished</t>
        </is>
      </c>
      <c r="E18" s="12" t="inlineStr">
        <is>
          <t>High-risk 'let it break' builds</t>
        </is>
      </c>
      <c r="F18" s="12" t="inlineStr">
        <is>
          <t>Confirmed</t>
        </is>
      </c>
      <c r="G18" s="12" t="inlineStr">
        <is>
          <t>Fallout 76 Wiki</t>
        </is>
      </c>
    </row>
    <row r="19">
      <c r="A19" s="12" t="inlineStr">
        <is>
          <t>Pyromaniac's</t>
        </is>
      </c>
      <c r="B19" s="12" t="inlineStr">
        <is>
          <t>4 (weapon)</t>
        </is>
      </c>
      <c r="C19" s="12" t="inlineStr">
        <is>
          <t>+50% damage vs burning targets</t>
        </is>
      </c>
      <c r="D19" s="12" t="inlineStr">
        <is>
          <t>Likely additive</t>
        </is>
      </c>
      <c r="E19" s="12" t="inlineStr">
        <is>
          <t>Fire/incendiary builds</t>
        </is>
      </c>
      <c r="F19" s="12" t="inlineStr">
        <is>
          <t>Confirmed</t>
        </is>
      </c>
      <c r="G19" s="12" t="inlineStr">
        <is>
          <t>Fallout 76 Wiki</t>
        </is>
      </c>
    </row>
    <row r="20">
      <c r="A20" s="12" t="inlineStr">
        <is>
          <t>Encircler's</t>
        </is>
      </c>
      <c r="B20" s="12" t="inlineStr">
        <is>
          <t>4 (weapon)</t>
        </is>
      </c>
      <c r="C20" s="12" t="inlineStr">
        <is>
          <t>+10% damage per nearby enemy, max +50%</t>
        </is>
      </c>
      <c r="D20" s="12" t="inlineStr">
        <is>
          <t>Likely additive</t>
        </is>
      </c>
      <c r="E20" s="12" t="inlineStr">
        <is>
          <t>Crowded fights (events, public teams)</t>
        </is>
      </c>
      <c r="F20" s="12" t="inlineStr">
        <is>
          <t>Confirmed</t>
        </is>
      </c>
      <c r="G20" s="12" t="inlineStr">
        <is>
          <t>Fallout 76 Wiki</t>
        </is>
      </c>
    </row>
    <row r="21">
      <c r="A21" s="12" t="inlineStr">
        <is>
          <t>Ranger's</t>
        </is>
      </c>
      <c r="B21" s="12" t="inlineStr">
        <is>
          <t>Armor, per piece</t>
        </is>
      </c>
      <c r="C21" s="12" t="inlineStr">
        <is>
          <t>+5% ranged damage per piece</t>
        </is>
      </c>
      <c r="D21" s="12" t="inlineStr">
        <is>
          <t>Likely additive</t>
        </is>
      </c>
      <c r="E21" s="12" t="inlineStr">
        <is>
          <t>Any ranged build — stacks across armor slots</t>
        </is>
      </c>
      <c r="F21" s="12" t="inlineStr">
        <is>
          <t>Likely</t>
        </is>
      </c>
      <c r="G21" s="12" t="inlineStr">
        <is>
          <t>Fallout 76 Wiki; community</t>
        </is>
      </c>
    </row>
    <row r="22">
      <c r="A22" s="12" t="inlineStr">
        <is>
          <t>Limit-Breaking</t>
        </is>
      </c>
      <c r="B22" s="12" t="inlineStr">
        <is>
          <t>Armor, per piece</t>
        </is>
      </c>
      <c r="C22" s="12" t="inlineStr">
        <is>
          <t>-10% Critical Meter cost per piece, max -50% at 5 pieces</t>
        </is>
      </c>
      <c r="D22" s="12" t="inlineStr">
        <is>
          <t>Multiplicative resource reduction</t>
        </is>
      </c>
      <c r="E22" s="12" t="inlineStr">
        <is>
          <t>Fast, frequent-crit VATS builds</t>
        </is>
      </c>
      <c r="F22" s="12" t="inlineStr">
        <is>
          <t>Likely</t>
        </is>
      </c>
      <c r="G22" s="12" t="inlineStr">
        <is>
          <t>Fallout 76 Wiki; community</t>
        </is>
      </c>
    </row>
    <row r="23">
      <c r="A23" s="12" t="inlineStr">
        <is>
          <t>Strengthened</t>
        </is>
      </c>
      <c r="B23" s="12" t="inlineStr">
        <is>
          <t>Armor mod, arms/legs</t>
        </is>
      </c>
      <c r="C23" s="12" t="inlineStr">
        <is>
          <t>-15% to -20% limb damage reduction per piece (sources disagree on the exact %)</t>
        </is>
      </c>
      <c r="D23" s="12" t="inlineStr">
        <is>
          <t>Additive; stacks with Adamantium (legendary) and Adamantium Skeleton (perk)</t>
        </is>
      </c>
      <c r="E23" s="12" t="inlineStr">
        <is>
          <t>Protecting your own limbs from being crippled</t>
        </is>
      </c>
      <c r="F23" s="12" t="inlineStr">
        <is>
          <t>Unconfirmed</t>
        </is>
      </c>
      <c r="G23" s="12" t="inlineStr">
        <is>
          <t>Community wikis disagree</t>
        </is>
      </c>
    </row>
    <row r="24">
      <c r="A24" s="12" t="inlineStr">
        <is>
          <t>Adamantium</t>
        </is>
      </c>
      <c r="B24" s="12" t="inlineStr">
        <is>
          <t>Armor legendary, per piece</t>
        </is>
      </c>
      <c r="C24" s="12" t="inlineStr">
        <is>
          <t>-15% limb damage per piece, max -75% at 5 pieces</t>
        </is>
      </c>
      <c r="D24" s="12" t="inlineStr">
        <is>
          <t>Additive; stacks with Strengthened and Adamantium Skeleton — 100% limb damage immunity achievable combining all three</t>
        </is>
      </c>
      <c r="E24" s="12" t="inlineStr">
        <is>
          <t>Protecting your own limbs from being crippled</t>
        </is>
      </c>
      <c r="F24" s="12" t="inlineStr">
        <is>
          <t>Confirmed</t>
        </is>
      </c>
      <c r="G24" s="12" t="inlineStr">
        <is>
          <t>Fallout 76 Wiki</t>
        </is>
      </c>
    </row>
    <row r="25">
      <c r="A25" s="12" t="inlineStr">
        <is>
          <t>Ultra-light</t>
        </is>
      </c>
      <c r="B25" s="12" t="inlineStr">
        <is>
          <t>Armor mod (not a legendary effect)</t>
        </is>
      </c>
      <c r="C25" s="12" t="inlineStr">
        <is>
          <t>Reduces armor piece weight, +5 AP</t>
        </is>
      </c>
      <c r="D25" s="12" t="inlineStr">
        <is>
          <t>N/A</t>
        </is>
      </c>
      <c r="E25" s="12" t="inlineStr">
        <is>
          <t>General carry-weight / AP management</t>
        </is>
      </c>
      <c r="F25" s="12" t="inlineStr">
        <is>
          <t>Confirmed — this is a standard craftable armor MOD, not a legendary star effect</t>
        </is>
      </c>
      <c r="G25" s="12" t="inlineStr">
        <is>
          <t>Fallout 76 Wiki - Ultra-light build</t>
        </is>
      </c>
    </row>
    <row r="26">
      <c r="A26" s="12" t="inlineStr">
        <is>
          <t>Assassin's</t>
        </is>
      </c>
      <c r="B26" s="12" t="inlineStr">
        <is>
          <t>Armor legendary, per piece</t>
        </is>
      </c>
      <c r="C26" s="12" t="inlineStr">
        <is>
          <t>-15% damage taken from Human enemies</t>
        </is>
      </c>
      <c r="D26" s="12" t="inlineStr">
        <is>
          <t>Multiplicative (incoming damage reduction)</t>
        </is>
      </c>
      <c r="E26" s="12" t="inlineStr">
        <is>
          <t>PvP / human-enemy-heavy content</t>
        </is>
      </c>
      <c r="F26" s="12" t="inlineStr">
        <is>
          <t>Likely</t>
        </is>
      </c>
      <c r="G26" s="12" t="inlineStr">
        <is>
          <t>Fallout 76 Wiki</t>
        </is>
      </c>
    </row>
    <row r="27">
      <c r="A27" s="12" t="inlineStr">
        <is>
          <t>Troubleshooter's</t>
        </is>
      </c>
      <c r="B27" s="12" t="inlineStr">
        <is>
          <t>Armor legendary, per piece</t>
        </is>
      </c>
      <c r="C27" s="12" t="inlineStr">
        <is>
          <t>-15% damage taken from Robot enemies</t>
        </is>
      </c>
      <c r="D27" s="12" t="inlineStr">
        <is>
          <t>Multiplicative (incoming damage reduction)</t>
        </is>
      </c>
      <c r="E27" s="12" t="inlineStr">
        <is>
          <t>Robot-heavy content</t>
        </is>
      </c>
      <c r="F27" s="12" t="inlineStr">
        <is>
          <t>Likely</t>
        </is>
      </c>
      <c r="G27" s="12" t="inlineStr">
        <is>
          <t>Fallout 76 Wiki</t>
        </is>
      </c>
    </row>
    <row r="28">
      <c r="A28" s="12" t="inlineStr">
        <is>
          <t>Sentinel's</t>
        </is>
      </c>
      <c r="B28" s="12" t="inlineStr">
        <is>
          <t>Armor legendary, per piece</t>
        </is>
      </c>
      <c r="C28" s="12" t="inlineStr">
        <is>
          <t>-5% damage taken while not moving</t>
        </is>
      </c>
      <c r="D28" s="12" t="inlineStr">
        <is>
          <t>Multiplicative (incoming damage reduction)</t>
        </is>
      </c>
      <c r="E28" s="12" t="inlineStr">
        <is>
          <t>Stationary/turret-style play</t>
        </is>
      </c>
      <c r="F28" s="12" t="inlineStr">
        <is>
          <t>Likely</t>
        </is>
      </c>
      <c r="G28" s="12" t="inlineStr">
        <is>
          <t>Fallout 76 Wiki</t>
        </is>
      </c>
    </row>
    <row r="29">
      <c r="A29" s="12" t="inlineStr">
        <is>
          <t>Weightless</t>
        </is>
      </c>
      <c r="B29" s="12" t="inlineStr">
        <is>
          <t>Armor legendary, per piece</t>
        </is>
      </c>
      <c r="C29" s="12" t="inlineStr">
        <is>
          <t>-90% weight</t>
        </is>
      </c>
      <c r="D29" s="12" t="inlineStr">
        <is>
          <t>N/A</t>
        </is>
      </c>
      <c r="E29" s="12" t="inlineStr">
        <is>
          <t>Carry-weight management</t>
        </is>
      </c>
      <c r="F29" s="12" t="inlineStr">
        <is>
          <t>Confirmed</t>
        </is>
      </c>
      <c r="G29" s="12" t="inlineStr">
        <is>
          <t>Fallout 76 Wiki</t>
        </is>
      </c>
    </row>
  </sheetData>
  <autoFilter ref="A3:G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tabSelected="0" workbookViewId="0">
      <pane ySplit="4" topLeftCell="A5" activePane="bottomLeft" state="frozen"/>
      <selection pane="bottomLeft" activeCell="A1" sqref="A1"/>
    </sheetView>
  </sheetViews>
  <sheetFormatPr baseColWidth="8" defaultRowHeight="15"/>
  <cols>
    <col width="24" customWidth="1" min="1" max="1"/>
    <col width="16" customWidth="1" min="2" max="2"/>
    <col width="58" customWidth="1" min="3" max="3"/>
    <col width="16" customWidth="1" min="4" max="4"/>
    <col width="30" customWidth="1" min="5" max="5"/>
    <col width="36" customWidth="1" min="6" max="6"/>
  </cols>
  <sheetData>
    <row r="1">
      <c r="A1" s="1" t="inlineStr">
        <is>
          <t>Legendary Perks — the Perception-Coin system (distinct from weapon/armor legendary effects)</t>
        </is>
      </c>
    </row>
    <row r="2" ht="45" customHeight="1">
      <c r="A2" s="2" t="inlineStr">
        <is>
          <t>Slots unlock at character level 50/75/100/150/200/300 (6 slots). Rank 1 of any card is free to equip; ranks 2/3/4 cost 50/100/150 Perk Coins (300 total to max one card). This list covers the SPECIAL perks plus general/Ghoul-only perks verified this session — not a claim every legendary perk in the game is listed.</t>
        </is>
      </c>
    </row>
    <row r="4">
      <c r="A4" s="6" t="inlineStr">
        <is>
          <t>Perk</t>
        </is>
      </c>
      <c r="B4" s="6" t="inlineStr">
        <is>
          <t>SPECIAL</t>
        </is>
      </c>
      <c r="C4" s="6" t="inlineStr">
        <is>
          <t>Effect by Rank</t>
        </is>
      </c>
      <c r="D4" s="6" t="inlineStr">
        <is>
          <t>Coin Cost (R2/R3/R4)</t>
        </is>
      </c>
      <c r="E4" s="6" t="inlineStr">
        <is>
          <t>Confidence</t>
        </is>
      </c>
      <c r="F4" s="6" t="inlineStr">
        <is>
          <t>Source</t>
        </is>
      </c>
    </row>
    <row r="5">
      <c r="A5" s="12" t="inlineStr">
        <is>
          <t>Legendary Strength</t>
        </is>
      </c>
      <c r="B5" s="12" t="inlineStr">
        <is>
          <t>STR</t>
        </is>
      </c>
      <c r="C5" s="12" t="inlineStr">
        <is>
          <t>+1 / +2 / +3 / +5 STR and matching STR perk-card points (hard cap 15 total)</t>
        </is>
      </c>
      <c r="D5" s="12" t="inlineStr">
        <is>
          <t>50 / 100 / 150</t>
        </is>
      </c>
      <c r="E5" s="12" t="inlineStr">
        <is>
          <t>Confirmed</t>
        </is>
      </c>
      <c r="F5" s="12" t="inlineStr">
        <is>
          <t>falloutbuilds.com; Dragonchasers</t>
        </is>
      </c>
    </row>
    <row r="6">
      <c r="A6" s="12" t="inlineStr">
        <is>
          <t>Legendary Perception</t>
        </is>
      </c>
      <c r="B6" s="12" t="inlineStr">
        <is>
          <t>PER</t>
        </is>
      </c>
      <c r="C6" s="12" t="inlineStr">
        <is>
          <t>+1 / +2 / +3 / +5 PER and matching PER perk-card points (cap 15)</t>
        </is>
      </c>
      <c r="D6" s="12" t="inlineStr">
        <is>
          <t>50 / 100 / 150</t>
        </is>
      </c>
      <c r="E6" s="12" t="inlineStr">
        <is>
          <t>Confirmed</t>
        </is>
      </c>
      <c r="F6" s="12" t="inlineStr">
        <is>
          <t>falloutbuilds.com; Dragonchasers</t>
        </is>
      </c>
    </row>
    <row r="7">
      <c r="A7" s="12" t="inlineStr">
        <is>
          <t>Legendary Endurance</t>
        </is>
      </c>
      <c r="B7" s="12" t="inlineStr">
        <is>
          <t>END</t>
        </is>
      </c>
      <c r="C7" s="12" t="inlineStr">
        <is>
          <t>+1 / +2 / +3 / +5 END and matching END perk-card points (cap 15)</t>
        </is>
      </c>
      <c r="D7" s="12" t="inlineStr">
        <is>
          <t>50 / 100 / 150</t>
        </is>
      </c>
      <c r="E7" s="12" t="inlineStr">
        <is>
          <t>Confirmed</t>
        </is>
      </c>
      <c r="F7" s="12" t="inlineStr">
        <is>
          <t>falloutbuilds.com; Dragonchasers</t>
        </is>
      </c>
    </row>
    <row r="8">
      <c r="A8" s="12" t="inlineStr">
        <is>
          <t>Legendary Charisma</t>
        </is>
      </c>
      <c r="B8" s="12" t="inlineStr">
        <is>
          <t>CHA</t>
        </is>
      </c>
      <c r="C8" s="12" t="inlineStr">
        <is>
          <t>+1 / +2 / +3 / +5 CHA and matching CHA perk-card points (cap 15)</t>
        </is>
      </c>
      <c r="D8" s="12" t="inlineStr">
        <is>
          <t>50 / 100 / 150</t>
        </is>
      </c>
      <c r="E8" s="12" t="inlineStr">
        <is>
          <t>Confirmed</t>
        </is>
      </c>
      <c r="F8" s="12" t="inlineStr">
        <is>
          <t>falloutbuilds.com; Dragonchasers</t>
        </is>
      </c>
    </row>
    <row r="9">
      <c r="A9" s="12" t="inlineStr">
        <is>
          <t>Legendary Intelligence</t>
        </is>
      </c>
      <c r="B9" s="12" t="inlineStr">
        <is>
          <t>INT</t>
        </is>
      </c>
      <c r="C9" s="12" t="inlineStr">
        <is>
          <t>+1 / +2 / +3 / +5 INT and matching INT perk-card points (cap 15)</t>
        </is>
      </c>
      <c r="D9" s="12" t="inlineStr">
        <is>
          <t>50 / 100 / 150</t>
        </is>
      </c>
      <c r="E9" s="12" t="inlineStr">
        <is>
          <t>Confirmed</t>
        </is>
      </c>
      <c r="F9" s="12" t="inlineStr">
        <is>
          <t>falloutbuilds.com; Dragonchasers</t>
        </is>
      </c>
    </row>
    <row r="10">
      <c r="A10" s="12" t="inlineStr">
        <is>
          <t>Legendary Agility</t>
        </is>
      </c>
      <c r="B10" s="12" t="inlineStr">
        <is>
          <t>AGI</t>
        </is>
      </c>
      <c r="C10" s="12" t="inlineStr">
        <is>
          <t>+1 / +2 / +3 / +5 AGI and matching AGI perk-card points (cap 15)</t>
        </is>
      </c>
      <c r="D10" s="12" t="inlineStr">
        <is>
          <t>50 / 100 / 150</t>
        </is>
      </c>
      <c r="E10" s="12" t="inlineStr">
        <is>
          <t>Confirmed</t>
        </is>
      </c>
      <c r="F10" s="12" t="inlineStr">
        <is>
          <t>falloutbuilds.com; Dragonchasers</t>
        </is>
      </c>
    </row>
    <row r="11">
      <c r="A11" s="12" t="inlineStr">
        <is>
          <t>Legendary Luck</t>
        </is>
      </c>
      <c r="B11" s="12" t="inlineStr">
        <is>
          <t>LCK</t>
        </is>
      </c>
      <c r="C11" s="12" t="inlineStr">
        <is>
          <t>+1 / +2 / +3 / +5 LCK and matching LCK perk-card points (cap 15)</t>
        </is>
      </c>
      <c r="D11" s="12" t="inlineStr">
        <is>
          <t>50 / 100 / 150</t>
        </is>
      </c>
      <c r="E11" s="12" t="inlineStr">
        <is>
          <t>Confirmed</t>
        </is>
      </c>
      <c r="F11" s="12" t="inlineStr">
        <is>
          <t>falloutbuilds.com; Dragonchasers</t>
        </is>
      </c>
    </row>
    <row r="12">
      <c r="A12" s="12" t="inlineStr">
        <is>
          <t>Follow Through</t>
        </is>
      </c>
      <c r="B12" s="12" t="inlineStr">
        <is>
          <t>General</t>
        </is>
      </c>
      <c r="C12" s="12" t="inlineStr">
        <is>
          <t>+10% / 20% / 30% / 40% ranged sneak-attack damage for 10 sec after a sneak attack</t>
        </is>
      </c>
      <c r="D12" s="12" t="inlineStr">
        <is>
          <t>50 / 100 / 150</t>
        </is>
      </c>
      <c r="E12" s="12" t="inlineStr">
        <is>
          <t>Confirmed</t>
        </is>
      </c>
      <c r="F12" s="12" t="inlineStr">
        <is>
          <t>timesaver.gg 2026 guide</t>
        </is>
      </c>
    </row>
    <row r="13">
      <c r="A13" s="12" t="inlineStr">
        <is>
          <t>Master Infiltrator</t>
        </is>
      </c>
      <c r="B13" s="12" t="inlineStr">
        <is>
          <t>General</t>
        </is>
      </c>
      <c r="C13" s="12" t="inlineStr">
        <is>
          <t>Auto-unlocks locks/terminals up to a skill threshold by rank; +3 Lockpick and Hacking at all ranks</t>
        </is>
      </c>
      <c r="D13" s="12" t="inlineStr">
        <is>
          <t>50 / 100 / 150</t>
        </is>
      </c>
      <c r="E13" s="12" t="inlineStr">
        <is>
          <t>Confirmed</t>
        </is>
      </c>
      <c r="F13" s="12" t="inlineStr">
        <is>
          <t>timesaver.gg 2026 guide</t>
        </is>
      </c>
    </row>
    <row r="14">
      <c r="A14" s="12" t="inlineStr">
        <is>
          <t>Ammo Factory</t>
        </is>
      </c>
      <c r="B14" s="12" t="inlineStr">
        <is>
          <t>General</t>
        </is>
      </c>
      <c r="C14" s="12" t="inlineStr">
        <is>
          <t>+50% / 75% / 100% / 150% more rounds produced per crafting batch</t>
        </is>
      </c>
      <c r="D14" s="12" t="inlineStr">
        <is>
          <t>50 / 100 / 150</t>
        </is>
      </c>
      <c r="E14" s="12" t="inlineStr">
        <is>
          <t>Confirmed</t>
        </is>
      </c>
      <c r="F14" s="12" t="inlineStr">
        <is>
          <t>timesaver.gg 2026 guide</t>
        </is>
      </c>
    </row>
    <row r="15">
      <c r="A15" s="12" t="inlineStr">
        <is>
          <t>Power Armor Reboot</t>
        </is>
      </c>
      <c r="B15" s="12" t="inlineStr">
        <is>
          <t>General</t>
        </is>
      </c>
      <c r="C15" s="12" t="inlineStr">
        <is>
          <t>Auto-revive with full health in Power Armor on death; cooldown drops to 8 / 6 / 2 min</t>
        </is>
      </c>
      <c r="D15" s="12" t="inlineStr">
        <is>
          <t>50 / 100 / 150</t>
        </is>
      </c>
      <c r="E15" s="12" t="inlineStr">
        <is>
          <t>Likely</t>
        </is>
      </c>
      <c r="F15" s="12" t="inlineStr">
        <is>
          <t>timesaver.gg 2026 guide</t>
        </is>
      </c>
    </row>
    <row r="16">
      <c r="A16" s="12" t="inlineStr">
        <is>
          <t>Power Sprinter</t>
        </is>
      </c>
      <c r="B16" s="12" t="inlineStr">
        <is>
          <t>General</t>
        </is>
      </c>
      <c r="C16" s="12" t="inlineStr">
        <is>
          <t>-20% / 30% / 40% / 50% AP cost while Sprinting in Power Armor</t>
        </is>
      </c>
      <c r="D16" s="12" t="inlineStr">
        <is>
          <t>50 / 100 / 150</t>
        </is>
      </c>
      <c r="E16" s="12" t="inlineStr">
        <is>
          <t>Likely</t>
        </is>
      </c>
      <c r="F16" s="12" t="inlineStr">
        <is>
          <t>timesaver.gg 2026 guide</t>
        </is>
      </c>
    </row>
    <row r="17">
      <c r="A17" s="12" t="inlineStr">
        <is>
          <t>Electric Absorption</t>
        </is>
      </c>
      <c r="B17" s="12" t="inlineStr">
        <is>
          <t>General</t>
        </is>
      </c>
      <c r="C17" s="12" t="inlineStr">
        <is>
          <t>10% / 13% / 16% / 20% chance an enemy energy attack recharges your Power Armor fusion core</t>
        </is>
      </c>
      <c r="D17" s="12" t="inlineStr">
        <is>
          <t>50 / 100 / 150</t>
        </is>
      </c>
      <c r="E17" s="12" t="inlineStr">
        <is>
          <t>Confirmed</t>
        </is>
      </c>
      <c r="F17" s="12" t="inlineStr">
        <is>
          <t>Fallout 76 Wiki</t>
        </is>
      </c>
    </row>
    <row r="18">
      <c r="A18" s="12" t="inlineStr">
        <is>
          <t>Taking One For The Team</t>
        </is>
      </c>
      <c r="B18" s="12" t="inlineStr">
        <is>
          <t>General (team)</t>
        </is>
      </c>
      <c r="C18" s="12" t="inlineStr">
        <is>
          <t>Enemies that attack you take 10% / 20% / 30% / 40% more damage, visible to your whole team</t>
        </is>
      </c>
      <c r="D18" s="12" t="inlineStr">
        <is>
          <t>50 / 100 / 150</t>
        </is>
      </c>
      <c r="E18" s="12" t="inlineStr">
        <is>
          <t>Confirmed</t>
        </is>
      </c>
      <c r="F18" s="12" t="inlineStr">
        <is>
          <t>aridenkane.com</t>
        </is>
      </c>
    </row>
    <row r="19">
      <c r="A19" s="12" t="inlineStr">
        <is>
          <t>Action Diet</t>
        </is>
      </c>
      <c r="B19" s="12" t="inlineStr">
        <is>
          <t>Ghoul-only</t>
        </is>
      </c>
      <c r="C19" s="12" t="inlineStr">
        <is>
          <t>On kill: heal 2 / 4 / 6 / 8 HP, reduce your Feral meter by 2% / 3% / 4% / 5%</t>
        </is>
      </c>
      <c r="D19" s="12" t="inlineStr">
        <is>
          <t>50 / 100 / 150</t>
        </is>
      </c>
      <c r="E19" s="12" t="inlineStr">
        <is>
          <t>Confirmed</t>
        </is>
      </c>
      <c r="F19" s="12" t="inlineStr">
        <is>
          <t>timesaver.gg 2026 guide</t>
        </is>
      </c>
    </row>
    <row r="20">
      <c r="A20" s="12" t="inlineStr">
        <is>
          <t>Feral Rage</t>
        </is>
      </c>
      <c r="B20" s="12" t="inlineStr">
        <is>
          <t>Ghoul-only</t>
        </is>
      </c>
      <c r="C20" s="12" t="inlineStr">
        <is>
          <t>While Feral, Glow-cost abilities (e.g. Radiation Power) cost 20% / 30% / 40% / 50% less Glow</t>
        </is>
      </c>
      <c r="D20" s="12" t="inlineStr">
        <is>
          <t>50 / 100 / 150</t>
        </is>
      </c>
      <c r="E20" s="12" t="inlineStr">
        <is>
          <t>Confirmed</t>
        </is>
      </c>
      <c r="F20" s="12" t="inlineStr">
        <is>
          <t>timesaver.gg 2026 guide</t>
        </is>
      </c>
    </row>
    <row r="21">
      <c r="A21" s="12" t="inlineStr">
        <is>
          <t>Collateral Damage</t>
        </is>
      </c>
      <c r="B21" s="12" t="inlineStr">
        <is>
          <t>General</t>
        </is>
      </c>
      <c r="C21" s="12" t="inlineStr">
        <is>
          <t>Melee kills have a 10-20% chance to explode</t>
        </is>
      </c>
      <c r="D21" s="12" t="inlineStr">
        <is>
          <t>50 / 100 / 150</t>
        </is>
      </c>
      <c r="E21" s="12" t="inlineStr">
        <is>
          <t>Likely</t>
        </is>
      </c>
      <c r="F21" s="12" t="inlineStr">
        <is>
          <t>aridenkane.com</t>
        </is>
      </c>
    </row>
    <row r="22">
      <c r="A22" s="12" t="inlineStr">
        <is>
          <t>Far-Flung Fireworks</t>
        </is>
      </c>
      <c r="B22" s="12" t="inlineStr">
        <is>
          <t>General</t>
        </is>
      </c>
      <c r="C22" s="12" t="inlineStr">
        <is>
          <t>Ranged weapon kills have a 10-20% chance to explode</t>
        </is>
      </c>
      <c r="D22" s="12" t="inlineStr">
        <is>
          <t>50 / 100 / 150</t>
        </is>
      </c>
      <c r="E22" s="12" t="inlineStr">
        <is>
          <t>Likely</t>
        </is>
      </c>
      <c r="F22" s="12" t="inlineStr">
        <is>
          <t>aridenkane.com</t>
        </is>
      </c>
    </row>
    <row r="23">
      <c r="A23" s="12" t="inlineStr">
        <is>
          <t>What Rads?</t>
        </is>
      </c>
      <c r="B23" s="12" t="inlineStr">
        <is>
          <t>General, Human-only</t>
        </is>
      </c>
      <c r="C23" s="12" t="inlineStr">
        <is>
          <t>+50 to +300 Rad Resist; restores 1-6 rads/sec by rank</t>
        </is>
      </c>
      <c r="D23" s="12" t="inlineStr">
        <is>
          <t>50 / 100 / 150</t>
        </is>
      </c>
      <c r="E23" s="12" t="inlineStr">
        <is>
          <t>Confirmed</t>
        </is>
      </c>
      <c r="F23" s="12" t="inlineStr">
        <is>
          <t>timesaver.gg 2026 guide</t>
        </is>
      </c>
    </row>
  </sheetData>
  <autoFilter ref="A4:F23"/>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tabSelected="0" workbookViewId="0">
      <pane ySplit="3" topLeftCell="A4" activePane="bottomLeft" state="frozen"/>
      <selection pane="bottomLeft" activeCell="A1" sqref="A1"/>
    </sheetView>
  </sheetViews>
  <sheetFormatPr baseColWidth="8" defaultRowHeight="15"/>
  <cols>
    <col width="26" customWidth="1" min="1" max="1"/>
    <col width="95" customWidth="1" min="2" max="2"/>
    <col width="24" customWidth="1" min="3" max="3"/>
    <col width="42" customWidth="1" min="4" max="4"/>
  </cols>
  <sheetData>
    <row r="1">
      <c r="A1" s="1" t="inlineStr">
        <is>
          <t>Mechanics &amp; Caps — the rules the calculators are built on</t>
        </is>
      </c>
    </row>
    <row r="3">
      <c r="A3" s="6" t="inlineStr">
        <is>
          <t>Topic</t>
        </is>
      </c>
      <c r="B3" s="6" t="inlineStr">
        <is>
          <t>Detail</t>
        </is>
      </c>
      <c r="C3" s="6" t="inlineStr">
        <is>
          <t>Confidence</t>
        </is>
      </c>
      <c r="D3" s="6" t="inlineStr">
        <is>
          <t>Source</t>
        </is>
      </c>
    </row>
    <row r="4">
      <c r="A4" s="12" t="inlineStr">
        <is>
          <t>SPECIAL point cap</t>
        </is>
      </c>
      <c r="B4" s="12" t="inlineStr">
        <is>
          <t>Each SPECIAL stat can be allocated up to 15 via level-up points (1 point per level, fully respec-able). This is the hard display cap regardless of other bonuses.</t>
        </is>
      </c>
      <c r="C4" s="12" t="inlineStr">
        <is>
          <t>Confirmed</t>
        </is>
      </c>
      <c r="D4" s="12" t="inlineStr">
        <is>
          <t>Fallout 76 Wiki - SPECIAL; falloutbuilds.com</t>
        </is>
      </c>
    </row>
    <row r="5">
      <c r="A5" s="12" t="inlineStr">
        <is>
          <t>Legendary SPECIAL perks</t>
        </is>
      </c>
      <c r="B5" s="12" t="inlineStr">
        <is>
          <t>7 legendary perk cards (Legendary Strength/Perception/Endurance/Charisma/Intelligence/Agility/Luck) each add +1/+2/+3/+5 to their SPECIAL stat AND the matching perk-card point budget per rank — but the stat still cannot exceed the 15 cap.</t>
        </is>
      </c>
      <c r="C5" s="12" t="inlineStr">
        <is>
          <t>Confirmed</t>
        </is>
      </c>
      <c r="D5" s="12" t="inlineStr">
        <is>
          <t>Fallout 76 Wiki - Legendary Perks; Dragonchasers</t>
        </is>
      </c>
    </row>
    <row r="6">
      <c r="A6" s="12" t="inlineStr">
        <is>
          <t>The '10+5' optimization</t>
        </is>
      </c>
      <c r="B6" s="12" t="inlineStr">
        <is>
          <t>Because a maxed (rank 4) Legendary SPECIAL perk adds +5, you only need 10 BASE points in that SPECIAL to reach the 15 cap. Base points invested beyond 10 in a SPECIAL whose matching legendary card is maxed are wasted.</t>
        </is>
      </c>
      <c r="C6" s="12" t="inlineStr">
        <is>
          <t>Confirmed</t>
        </is>
      </c>
      <c r="D6" s="12" t="inlineStr">
        <is>
          <t>Dragonchasers - Legendary SPECIAL Perks for Newbies</t>
        </is>
      </c>
    </row>
    <row r="7">
      <c r="A7" s="12" t="inlineStr">
        <is>
          <t>Perk-card point budget</t>
        </is>
      </c>
      <c r="B7" s="12" t="inlineStr">
        <is>
          <t>The total point cost of your equipped perk cards under one SPECIAL cannot exceed that SPECIAL's current value.</t>
        </is>
      </c>
      <c r="C7" s="12" t="inlineStr">
        <is>
          <t>Confirmed</t>
        </is>
      </c>
      <c r="D7" s="12" t="inlineStr">
        <is>
          <t>Fallout 76 Wiki</t>
        </is>
      </c>
    </row>
    <row r="8">
      <c r="A8" s="12" t="inlineStr">
        <is>
          <t>Legendary perk slots</t>
        </is>
      </c>
      <c r="B8" s="12" t="inlineStr">
        <is>
          <t>Legendary perk slots unlock at character level 50, 75, 100, 150, 200 and 300 — 6 slots total.</t>
        </is>
      </c>
      <c r="C8" s="12" t="inlineStr">
        <is>
          <t>Confirmed</t>
        </is>
      </c>
      <c r="D8" s="12" t="inlineStr">
        <is>
          <t>Fallout 76 Wiki - Legendary Perks</t>
        </is>
      </c>
    </row>
    <row r="9">
      <c r="A9" s="12" t="inlineStr">
        <is>
          <t>Outgoing damage formula</t>
        </is>
      </c>
      <c r="B9" s="12" t="inlineStr">
        <is>
          <t>OutgoingDamage = Base × (1 + ΣDamageBonus) × DamageMult1 × DamageMult2 × ... DamageBonus terms (most perks, mods, chems) ADD together into one bracket; DamageMult terms (sneak attack, critical hit, difficulty, etc.) each multiply the result separately.</t>
        </is>
      </c>
      <c r="C9" s="12" t="inlineStr">
        <is>
          <t>Confirmed</t>
        </is>
      </c>
      <c r="D9" s="12" t="inlineStr">
        <is>
          <t>Fallout 76 Wiki - Damage</t>
        </is>
      </c>
    </row>
    <row r="10">
      <c r="A10" s="12" t="inlineStr">
        <is>
          <t>Target resistance formula</t>
        </is>
      </c>
      <c r="B10" s="12" t="inlineStr">
        <is>
          <t>DamageResistMult = MAX(0.1, MIN(0.99, (IncomingDamage × 0.15 / Resist) ^ 0.365)). This is the fraction of a hit's damage that gets through: floor 0.1 (at most 90% mitigated), ceiling 0.99 (at least 1% mitigated).</t>
        </is>
      </c>
      <c r="C10" s="12" t="inlineStr">
        <is>
          <t>Confirmed</t>
        </is>
      </c>
      <c r="D10" s="12" t="inlineStr">
        <is>
          <t>Fallout 76 Wiki - Damage</t>
        </is>
      </c>
    </row>
    <row r="11">
      <c r="A11" s="12" t="inlineStr">
        <is>
          <t>Armor-penetration stacking</t>
        </is>
      </c>
      <c r="B11" s="12" t="inlineStr">
        <is>
          <t>Tank Killer and Anti-Armor both reduce the SAME effective Resist value and stack MULTIPLICATIVELY with each other (confirmed for Anti-Armor x Tank Killer) — so each extra penetration source gives progressively smaller returns once the damage:resist ratio is already high (~6.5:1 reaches the 99%-through ceiling).</t>
        </is>
      </c>
      <c r="C11" s="12" t="inlineStr">
        <is>
          <t>Confirmed</t>
        </is>
      </c>
      <c r="D11" s="12" t="inlineStr">
        <is>
          <t>Fallout 76 Wiki - Anti-Armor; Fallout 76 Wiki - Damage</t>
        </is>
      </c>
    </row>
    <row r="12">
      <c r="A12" s="12" t="inlineStr">
        <is>
          <t>Limb health vs. body damage</t>
        </is>
      </c>
      <c r="B12" s="12" t="inlineStr">
        <is>
          <t>Limbs carry their own hidden health pool separate from the target's main HP. Perks like Enforcer that boost 'limb damage' increase damage to that hidden pool (crippling the limb faster) and add NO extra damage to the target's main HP — the calculators show this separately, not folded into Sustained DPS.</t>
        </is>
      </c>
      <c r="C12" s="12" t="inlineStr">
        <is>
          <t>Confirmed</t>
        </is>
      </c>
      <c r="D12" s="12" t="inlineStr">
        <is>
          <t>Fallout 76 Wiki - Enforcer</t>
        </is>
      </c>
    </row>
    <row r="13">
      <c r="A13" s="12" t="inlineStr">
        <is>
          <t>Weak-spot damage bucket</t>
        </is>
      </c>
      <c r="B13" s="12" t="inlineStr">
        <is>
          <t>Weak-spot/limb percentage bonuses (Gunslinger, Gunslinger Expert's per-stack bonus, Pin-Pointer's, Faulty Spots) only apply on a shot that actually lands on a limb or head, never torso, and are believed to sum together before being applied as one extra multiplier on that hit.</t>
        </is>
      </c>
      <c r="C13" s="12" t="inlineStr">
        <is>
          <t>Likely</t>
        </is>
      </c>
      <c r="D13" s="12" t="inlineStr">
        <is>
          <t>player consensus across multiple build guides</t>
        </is>
      </c>
    </row>
    <row r="14">
      <c r="A14" s="12" t="inlineStr">
        <is>
          <t>Onslaught</t>
        </is>
      </c>
      <c r="B14" s="12" t="inlineStr">
        <is>
          <t>A stacking buff from consecutive hits on the SAME enemy. Each stack decays 1/second once you stop landing hits. Furious converts live stacks into +5% damage per stack and raises the max stack cap by 9; Gunslinger Expert/Guerrilla Expert/Guerrilla Master each add their own stack-cap bonus to the same pool.</t>
        </is>
      </c>
      <c r="C14" s="12" t="inlineStr">
        <is>
          <t>Confirmed</t>
        </is>
      </c>
      <c r="D14" s="12" t="inlineStr">
        <is>
          <t>Fallout 76 Wiki - Onslaught; Fallout 76 Wiki - Furious</t>
        </is>
      </c>
    </row>
    <row r="15">
      <c r="A15" s="12" t="inlineStr">
        <is>
          <t>Reverse Onslaught (Gunslinger Master)</t>
        </is>
      </c>
      <c r="B15" s="12" t="inlineStr">
        <is>
          <t>Gunslinger Master flips ranged Onslaught: passively gain 1 stack/sec regardless of hits, and stacks are CONSUMED on each attack instead of decaying. Favors slow/semi-automatic weapons; hurts fast/automatic weapons that already stack quickly from hits.</t>
        </is>
      </c>
      <c r="C15" s="12" t="inlineStr">
        <is>
          <t>Likely</t>
        </is>
      </c>
      <c r="D15" s="12" t="inlineStr">
        <is>
          <t>Gamerant; community build guides</t>
        </is>
      </c>
    </row>
    <row r="16">
      <c r="A16" s="12" t="inlineStr">
        <is>
          <t>Ghoul mutation rule</t>
        </is>
      </c>
      <c r="B16" s="12" t="inlineStr">
        <is>
          <t>Ghoul characters only gain mutations from serums, never ambient radiation. Starched Genes (blocks random mutations from rad exposure) has no effect on a Ghoul.</t>
        </is>
      </c>
      <c r="C16" s="12" t="inlineStr">
        <is>
          <t>Confirmed</t>
        </is>
      </c>
      <c r="D16" s="12" t="inlineStr">
        <is>
          <t>Fallout 76 Wiki - Ghoul</t>
        </is>
      </c>
    </row>
    <row r="17">
      <c r="A17" s="12" t="inlineStr">
        <is>
          <t>Adamantium Skeleton scaling</t>
        </is>
      </c>
      <c r="B17" s="12" t="inlineStr">
        <is>
          <t>Confirmed checkpoints: END 1 -&gt; 10% limb-damage reduction, END 15 -&gt; 35%, END 30 -&gt; 60%, END 60 -&gt; 90%. The calculators interpolate linearly between the END 1 and END 15 points (the normal unmodified range); the real curve likely flattens further beyond END 15.</t>
        </is>
      </c>
      <c r="C17" s="12" t="inlineStr">
        <is>
          <t>Confirmed (checkpoints); Likely (interpolation)</t>
        </is>
      </c>
      <c r="D17" s="12" t="inlineStr">
        <is>
          <t>Fallout 76 Wiki - Adamantium Skeleton</t>
        </is>
      </c>
    </row>
    <row r="18">
      <c r="A18" s="12" t="inlineStr">
        <is>
          <t>Sustained-DPS model, what it does NOT capture</t>
        </is>
      </c>
      <c r="B18" s="12" t="inlineStr">
        <is>
          <t>The Weapon Comparison sheet models steady-state throughput (ammo-cycle rate vs. AP-cycle rate, whichever is lower) using Weak-Spot Hit % and VATS Crit % as probabilities rather than per-shot toggles. It does NOT simulate the Critical Meter's fill rate, burst-window AP pool depletion, per-creature base body-part multipliers, or multi-target scenarios (Gun Fu, Guerrilla Master's close-range gate is a toggle, not positioning). Treat results as a relative A-vs-B comparison, not an exact combat log.</t>
        </is>
      </c>
      <c r="C18" s="12" t="inlineStr">
        <is>
          <t>Confirmed (by construction — this is documenting the model's own scope)</t>
        </is>
      </c>
      <c r="D18" s="12" t="inlineStr">
        <is>
          <t>this workbook</t>
        </is>
      </c>
    </row>
    <row r="19">
      <c r="A19" s="12" t="inlineStr">
        <is>
          <t>Classic weapon-type perks were reworked</t>
        </is>
      </c>
      <c r="B19" s="12" t="inlineStr">
        <is>
          <t>Rifleman, Commando, Shotgunner, Heavy Gunner (and their Expert/Master tiers) no longer exist as flat '+X% damage with weapon type Y' cards. They were replaced in place or renamed into conditional cards: Rifleman -&gt; Down Ranger (damage at 47+ feet), Commando -&gt; Center Masochist (damage on a torso hit), Shotgunner -&gt; Easy Target (damage vs. crippled), Heavy Gunner -&gt; Bullet Storm (stacking damage per ammo spent). Gunslinger/Guerrilla and their Expert/Master tiers were similarly converted from flat pistol/automatic-pistol damage into the weak-spot/close-range/Onslaught-stack mechanics this workbook already models. If you're cross-checking against an older build guide, this is why the names/numbers won't match.</t>
        </is>
      </c>
      <c r="C19" s="12" t="inlineStr">
        <is>
          <t>Confirmed</t>
        </is>
      </c>
      <c r="D19" s="12" t="inlineStr">
        <is>
          <t>dedicated catalogue pass this session (243 perks), individually verified against fallout.wiki + nukaknights.com patch changelogs</t>
        </is>
      </c>
    </row>
    <row r="20">
      <c r="A20" s="12" t="inlineStr">
        <is>
          <t>Catalogued but not wired into the live formulas</t>
        </is>
      </c>
      <c r="B20" s="12" t="inlineStr">
        <is>
          <t>Demolition Expert (+20/40/60% explosion damage), Bullet Storm (+3/6/9% damage per 30 ammo spent, heavy guns), and Slugger (+10/20/30% melee damage vs. crippled) are real, confirmed, flat-ish damage perks but aren't folded into Weapon Comparison's math — Demolition Expert needs a separate explosion-damage sub-calculation (Explosive legendary isn't wired in either, for the same reason), and Bullet Storm/Slugger are heavy-gun/melee mechanics outside this workbook's ranged/small-guns scope. Their point cost is still tracked correctly in Build Configurator.</t>
        </is>
      </c>
      <c r="C20" s="12" t="inlineStr">
        <is>
          <t>Confirmed</t>
        </is>
      </c>
      <c r="D20" s="12" t="inlineStr">
        <is>
          <t>this workbook</t>
        </is>
      </c>
    </row>
    <row r="21">
      <c r="A21" s="12" t="inlineStr">
        <is>
          <t>A second research pass corrected several numbers</t>
        </is>
      </c>
      <c r="B21" s="12" t="inlineStr">
        <is>
          <t>Better Criticals was reworked from 20/30/40% to 50/75/100% by patch 1.6.4.60 and this workbook had the stale pre-rework number until a second pass caught it. Glowing Criticals turned out to be 3 ranks (20/35/50%), not a single flat 50%. Ironclad is a clean 15/20/25% per rank (doubled to 30/40/50% with a 5-piece set), not '+15% then +2% per rank after.' Gunslinger Expert, Guerrilla Expert, Guerrilla Master, Awareness, Adrenaline, and Life Giver are each single-rank, higher-point-cost cards, not multi-rank cards — the point cost was already right, only the displayed rank number was corrected.</t>
        </is>
      </c>
      <c r="C21" s="12" t="inlineStr">
        <is>
          <t>Confirmed</t>
        </is>
      </c>
      <c r="D21" s="12" t="inlineStr">
        <is>
          <t>second independent research pass this session, cross-verified against individual wiki pages</t>
        </is>
      </c>
    </row>
  </sheetData>
  <autoFilter ref="A3:D21"/>
  <pageMargins left="0.75" right="0.75" top="1" bottom="1" header="0.5" footer="0.5"/>
</worksheet>
</file>

<file path=xl/worksheets/sheet8.xml><?xml version="1.0" encoding="utf-8"?>
<worksheet xmlns="http://schemas.openxmlformats.org/spreadsheetml/2006/main">
  <sheetPr>
    <tabColor rgb="00AAAAAA"/>
    <outlinePr summaryBelow="1" summaryRight="1"/>
    <pageSetUpPr/>
  </sheetPr>
  <dimension ref="A1:P247"/>
  <sheetViews>
    <sheetView tabSelected="0" workbookViewId="0">
      <pane ySplit="4" topLeftCell="A5" activePane="bottomLeft" state="frozen"/>
      <selection pane="bottomLeft" activeCell="A1" sqref="A1"/>
    </sheetView>
  </sheetViews>
  <sheetFormatPr baseColWidth="8" defaultRowHeight="15"/>
  <cols>
    <col width="22" customWidth="1" min="1" max="1"/>
    <col width="9" customWidth="1" min="2" max="2"/>
    <col width="10" customWidth="1" min="3" max="3"/>
    <col width="26" customWidth="1" min="4" max="4"/>
    <col width="13" customWidth="1" min="5" max="5"/>
    <col width="55" customWidth="1" min="6" max="6"/>
    <col width="8" customWidth="1" min="7" max="7"/>
    <col width="8" customWidth="1" min="8" max="8"/>
    <col width="8" customWidth="1" min="9" max="9"/>
    <col width="8" customWidth="1" min="10" max="10"/>
    <col width="8" customWidth="1" min="11" max="11"/>
    <col width="9" customWidth="1" min="12" max="12"/>
    <col width="9" customWidth="1" min="13" max="13"/>
    <col width="9" customWidth="1" min="14" max="14"/>
    <col width="9" customWidth="1" min="15" max="15"/>
    <col width="9" customWidth="1" min="16" max="16"/>
  </cols>
  <sheetData>
    <row r="1">
      <c r="A1" s="1" t="inlineStr">
        <is>
          <t>Perk Values (helper) — rank-indexed numbers the Build Configurator and Weapon Comparison pull from</t>
        </is>
      </c>
    </row>
    <row r="2" ht="30" customHeight="1">
      <c r="A2" s="2" t="inlineStr">
        <is>
          <t>Edit a perk's values here if a future patch changes it and every calculator updates automatically. 'Bucket' tags which part of the damage/cadence/resistance math a perk feeds; 'non_combat*' buckets are tracked for point-budget purposes only and contribute 0 to every calculator.</t>
        </is>
      </c>
    </row>
    <row r="4">
      <c r="A4" s="6" t="inlineStr">
        <is>
          <t>Perk</t>
        </is>
      </c>
      <c r="B4" s="6" t="inlineStr">
        <is>
          <t>SPECIAL</t>
        </is>
      </c>
      <c r="C4" s="6" t="inlineStr">
        <is>
          <t>Max Rank</t>
        </is>
      </c>
      <c r="D4" s="6" t="inlineStr">
        <is>
          <t>Bucket</t>
        </is>
      </c>
      <c r="E4" s="6" t="inlineStr">
        <is>
          <t>Confidence</t>
        </is>
      </c>
      <c r="F4" s="6" t="inlineStr">
        <is>
          <t>Source</t>
        </is>
      </c>
      <c r="G4" s="6" t="inlineStr">
        <is>
          <t>Cost R0</t>
        </is>
      </c>
      <c r="H4" s="6" t="inlineStr">
        <is>
          <t>Cost R1</t>
        </is>
      </c>
      <c r="I4" s="6" t="inlineStr">
        <is>
          <t>Cost R2</t>
        </is>
      </c>
      <c r="J4" s="6" t="inlineStr">
        <is>
          <t>Cost R3</t>
        </is>
      </c>
      <c r="K4" s="6" t="inlineStr">
        <is>
          <t>Cost R4</t>
        </is>
      </c>
      <c r="L4" s="6" t="inlineStr">
        <is>
          <t>Value R0</t>
        </is>
      </c>
      <c r="M4" s="6" t="inlineStr">
        <is>
          <t>Value R1</t>
        </is>
      </c>
      <c r="N4" s="6" t="inlineStr">
        <is>
          <t>Value R2</t>
        </is>
      </c>
      <c r="O4" s="6" t="inlineStr">
        <is>
          <t>Value R3</t>
        </is>
      </c>
      <c r="P4" s="6" t="inlineStr">
        <is>
          <t>Value R4</t>
        </is>
      </c>
    </row>
    <row r="5">
      <c r="A5" s="12" t="inlineStr">
        <is>
          <t>Arms Keeper</t>
        </is>
      </c>
      <c r="B5" s="12" t="inlineStr">
        <is>
          <t>STR</t>
        </is>
      </c>
      <c r="C5" s="12" t="n">
        <v>2</v>
      </c>
      <c r="D5" s="12" t="inlineStr">
        <is>
          <t>non_combat</t>
        </is>
      </c>
      <c r="E5" s="12" t="inlineStr">
        <is>
          <t>Likely</t>
        </is>
      </c>
      <c r="F5" s="12" t="inlineStr">
        <is>
          <t>fallout.wiki - Fallout 76 Perks (Strength section)</t>
        </is>
      </c>
      <c r="G5" s="12" t="n">
        <v>0</v>
      </c>
      <c r="H5" s="12" t="n">
        <v>1</v>
      </c>
      <c r="I5" s="12" t="n">
        <v>2</v>
      </c>
      <c r="J5" s="12" t="n">
        <v>2</v>
      </c>
      <c r="K5" s="12" t="n">
        <v>2</v>
      </c>
      <c r="L5" s="12" t="n">
        <v>0</v>
      </c>
      <c r="M5" s="12" t="n">
        <v>0</v>
      </c>
      <c r="N5" s="12" t="n">
        <v>0</v>
      </c>
      <c r="O5" s="12" t="n">
        <v>0</v>
      </c>
      <c r="P5" s="12" t="n">
        <v>0</v>
      </c>
    </row>
    <row r="6">
      <c r="A6" s="12" t="inlineStr">
        <is>
          <t>Bandolier</t>
        </is>
      </c>
      <c r="B6" s="12" t="inlineStr">
        <is>
          <t>STR</t>
        </is>
      </c>
      <c r="C6" s="12" t="n">
        <v>2</v>
      </c>
      <c r="D6" s="12" t="inlineStr">
        <is>
          <t>non_combat</t>
        </is>
      </c>
      <c r="E6" s="12" t="inlineStr">
        <is>
          <t>Likely</t>
        </is>
      </c>
      <c r="F6" s="12" t="inlineStr">
        <is>
          <t>fallout.wiki - Fallout 76 Perks (Strength section)</t>
        </is>
      </c>
      <c r="G6" s="12" t="n">
        <v>0</v>
      </c>
      <c r="H6" s="12" t="n">
        <v>1</v>
      </c>
      <c r="I6" s="12" t="n">
        <v>2</v>
      </c>
      <c r="J6" s="12" t="n">
        <v>2</v>
      </c>
      <c r="K6" s="12" t="n">
        <v>2</v>
      </c>
      <c r="L6" s="12" t="n">
        <v>0</v>
      </c>
      <c r="M6" s="12" t="n">
        <v>0</v>
      </c>
      <c r="N6" s="12" t="n">
        <v>0</v>
      </c>
      <c r="O6" s="12" t="n">
        <v>0</v>
      </c>
      <c r="P6" s="12" t="n">
        <v>0</v>
      </c>
    </row>
    <row r="7">
      <c r="A7" s="12" t="inlineStr">
        <is>
          <t>Barbarian</t>
        </is>
      </c>
      <c r="B7" s="12" t="inlineStr">
        <is>
          <t>STR</t>
        </is>
      </c>
      <c r="C7" s="12" t="n">
        <v>1</v>
      </c>
      <c r="D7" s="12" t="inlineStr">
        <is>
          <t>catalogued_not_wired</t>
        </is>
      </c>
      <c r="E7" s="12" t="inlineStr">
        <is>
          <t>Likely</t>
        </is>
      </c>
      <c r="F7" s="12" t="inlineStr">
        <is>
          <t>fallout.wiki - Barbarian (Fallout 76); cross-checked via WebSearch (post-Update 58 rework)</t>
        </is>
      </c>
      <c r="G7" s="12" t="n">
        <v>0</v>
      </c>
      <c r="H7" s="12" t="n">
        <v>1</v>
      </c>
      <c r="I7" s="12" t="n">
        <v>1</v>
      </c>
      <c r="J7" s="12" t="n">
        <v>1</v>
      </c>
      <c r="K7" s="12" t="n">
        <v>1</v>
      </c>
      <c r="L7" s="12" t="n">
        <v>0</v>
      </c>
      <c r="M7" s="12" t="n">
        <v>0</v>
      </c>
      <c r="N7" s="12" t="n">
        <v>0</v>
      </c>
      <c r="O7" s="12" t="n">
        <v>0</v>
      </c>
      <c r="P7" s="12" t="n">
        <v>0</v>
      </c>
    </row>
    <row r="8">
      <c r="A8" s="12" t="inlineStr">
        <is>
          <t>Basher</t>
        </is>
      </c>
      <c r="B8" s="12" t="inlineStr">
        <is>
          <t>STR</t>
        </is>
      </c>
      <c r="C8" s="12" t="n">
        <v>2</v>
      </c>
      <c r="D8" s="12" t="inlineStr">
        <is>
          <t>catalogued_not_wired</t>
        </is>
      </c>
      <c r="E8" s="12" t="inlineStr">
        <is>
          <t>Likely</t>
        </is>
      </c>
      <c r="F8" s="12" t="inlineStr">
        <is>
          <t>fallout.wiki - Fallout 76 Perks (Strength section)</t>
        </is>
      </c>
      <c r="G8" s="12" t="n">
        <v>0</v>
      </c>
      <c r="H8" s="12" t="n">
        <v>1</v>
      </c>
      <c r="I8" s="12" t="n">
        <v>2</v>
      </c>
      <c r="J8" s="12" t="n">
        <v>2</v>
      </c>
      <c r="K8" s="12" t="n">
        <v>2</v>
      </c>
      <c r="L8" s="12" t="n">
        <v>0</v>
      </c>
      <c r="M8" s="12" t="n">
        <v>0</v>
      </c>
      <c r="N8" s="12" t="n">
        <v>0</v>
      </c>
      <c r="O8" s="12" t="n">
        <v>0</v>
      </c>
      <c r="P8" s="12" t="n">
        <v>0</v>
      </c>
    </row>
    <row r="9">
      <c r="A9" s="12" t="inlineStr">
        <is>
          <t>Bear Arms</t>
        </is>
      </c>
      <c r="B9" s="12" t="inlineStr">
        <is>
          <t>STR</t>
        </is>
      </c>
      <c r="C9" s="12" t="n">
        <v>1</v>
      </c>
      <c r="D9" s="12" t="inlineStr">
        <is>
          <t>catalogued_not_wired</t>
        </is>
      </c>
      <c r="E9" s="12" t="inlineStr">
        <is>
          <t>Likely</t>
        </is>
      </c>
      <c r="F9" s="12" t="inlineStr">
        <is>
          <t>fallout.wiki - Fallout 76 Perks (Strength section); nukaknights.com Patch 62 changelog</t>
        </is>
      </c>
      <c r="G9" s="12" t="n">
        <v>0</v>
      </c>
      <c r="H9" s="12" t="n">
        <v>1</v>
      </c>
      <c r="I9" s="12" t="n">
        <v>1</v>
      </c>
      <c r="J9" s="12" t="n">
        <v>1</v>
      </c>
      <c r="K9" s="12" t="n">
        <v>1</v>
      </c>
      <c r="L9" s="12" t="n">
        <v>0</v>
      </c>
      <c r="M9" s="12" t="n">
        <v>0</v>
      </c>
      <c r="N9" s="12" t="n">
        <v>0</v>
      </c>
      <c r="O9" s="12" t="n">
        <v>0</v>
      </c>
      <c r="P9" s="12" t="n">
        <v>0</v>
      </c>
    </row>
    <row r="10">
      <c r="A10" s="12" t="inlineStr">
        <is>
          <t>Blocker</t>
        </is>
      </c>
      <c r="B10" s="12" t="inlineStr">
        <is>
          <t>STR</t>
        </is>
      </c>
      <c r="C10" s="12" t="n">
        <v>3</v>
      </c>
      <c r="D10" s="12" t="inlineStr">
        <is>
          <t>non_combat_melee_block</t>
        </is>
      </c>
      <c r="E10" s="12" t="inlineStr">
        <is>
          <t>Likely</t>
        </is>
      </c>
      <c r="F10" s="12" t="inlineStr">
        <is>
          <t>fallout.wiki - Fallout 76 Perks (Strength section)</t>
        </is>
      </c>
      <c r="G10" s="12" t="n">
        <v>0</v>
      </c>
      <c r="H10" s="12" t="n">
        <v>1</v>
      </c>
      <c r="I10" s="12" t="n">
        <v>2</v>
      </c>
      <c r="J10" s="12" t="n">
        <v>3</v>
      </c>
      <c r="K10" s="12" t="n">
        <v>3</v>
      </c>
      <c r="L10" s="12" t="n">
        <v>0</v>
      </c>
      <c r="M10" s="12" t="n">
        <v>0</v>
      </c>
      <c r="N10" s="12" t="n">
        <v>0</v>
      </c>
      <c r="O10" s="12" t="n">
        <v>0</v>
      </c>
      <c r="P10" s="12" t="n">
        <v>0</v>
      </c>
    </row>
    <row r="11">
      <c r="A11" s="12" t="inlineStr">
        <is>
          <t>Blood Luster</t>
        </is>
      </c>
      <c r="B11" s="12" t="inlineStr">
        <is>
          <t>STR</t>
        </is>
      </c>
      <c r="C11" s="12" t="n">
        <v>1</v>
      </c>
      <c r="D11" s="12" t="inlineStr">
        <is>
          <t>catalogued_not_wired</t>
        </is>
      </c>
      <c r="E11" s="12" t="inlineStr">
        <is>
          <t>Confirmed</t>
        </is>
      </c>
      <c r="F11" s="12" t="inlineStr">
        <is>
          <t>nukaknights.com Patch 62 changelog (Gladiator Master -&gt; Blood Luster); fallout.wiki section fetch</t>
        </is>
      </c>
      <c r="G11" s="12" t="n">
        <v>0</v>
      </c>
      <c r="H11" s="12" t="n">
        <v>1</v>
      </c>
      <c r="I11" s="12" t="n">
        <v>1</v>
      </c>
      <c r="J11" s="12" t="n">
        <v>1</v>
      </c>
      <c r="K11" s="12" t="n">
        <v>1</v>
      </c>
      <c r="L11" s="12" t="n">
        <v>0</v>
      </c>
      <c r="M11" s="12" t="n">
        <v>0</v>
      </c>
      <c r="N11" s="12" t="n">
        <v>0</v>
      </c>
      <c r="O11" s="12" t="n">
        <v>0</v>
      </c>
      <c r="P11" s="12" t="n">
        <v>0</v>
      </c>
    </row>
    <row r="12">
      <c r="A12" s="12" t="inlineStr">
        <is>
          <t>Bringing the Big Guns</t>
        </is>
      </c>
      <c r="B12" s="12" t="inlineStr">
        <is>
          <t>STR</t>
        </is>
      </c>
      <c r="C12" s="12" t="n">
        <v>1</v>
      </c>
      <c r="D12" s="12" t="inlineStr">
        <is>
          <t>catalogued_not_wired</t>
        </is>
      </c>
      <c r="E12" s="12" t="inlineStr">
        <is>
          <t>Confirmed</t>
        </is>
      </c>
      <c r="F12" s="12" t="inlineStr">
        <is>
          <t>nukaknights.com Patch 62 changelog (Heavy Gunner Master -&gt; Bringing the Big Guns)</t>
        </is>
      </c>
      <c r="G12" s="12" t="n">
        <v>0</v>
      </c>
      <c r="H12" s="12" t="n">
        <v>3</v>
      </c>
      <c r="I12" s="12" t="n">
        <v>3</v>
      </c>
      <c r="J12" s="12" t="n">
        <v>3</v>
      </c>
      <c r="K12" s="12" t="n">
        <v>3</v>
      </c>
      <c r="L12" s="12" t="n">
        <v>0</v>
      </c>
      <c r="M12" s="12" t="n">
        <v>0</v>
      </c>
      <c r="N12" s="12" t="n">
        <v>0</v>
      </c>
      <c r="O12" s="12" t="n">
        <v>0</v>
      </c>
      <c r="P12" s="12" t="n">
        <v>0</v>
      </c>
    </row>
    <row r="13">
      <c r="A13" s="12" t="inlineStr">
        <is>
          <t>Bullet Storm</t>
        </is>
      </c>
      <c r="B13" s="12" t="inlineStr">
        <is>
          <t>STR</t>
        </is>
      </c>
      <c r="C13" s="12" t="n">
        <v>3</v>
      </c>
      <c r="D13" s="12" t="inlineStr">
        <is>
          <t>catalogued_not_wired</t>
        </is>
      </c>
      <c r="E13" s="12" t="inlineStr">
        <is>
          <t>Confirmed</t>
        </is>
      </c>
      <c r="F13" s="12" t="inlineStr">
        <is>
          <t>nukaknights.com Patch 62 changelog; fallout.wiki section fetch; WebSearch cross-check</t>
        </is>
      </c>
      <c r="G13" s="12" t="n">
        <v>0</v>
      </c>
      <c r="H13" s="12" t="n">
        <v>1</v>
      </c>
      <c r="I13" s="12" t="n">
        <v>2</v>
      </c>
      <c r="J13" s="12" t="n">
        <v>3</v>
      </c>
      <c r="K13" s="12" t="n">
        <v>3</v>
      </c>
      <c r="L13" s="12" t="n">
        <v>0</v>
      </c>
      <c r="M13" s="12" t="n">
        <v>0</v>
      </c>
      <c r="N13" s="12" t="n">
        <v>0</v>
      </c>
      <c r="O13" s="12" t="n">
        <v>0</v>
      </c>
      <c r="P13" s="12" t="n">
        <v>0</v>
      </c>
    </row>
    <row r="14">
      <c r="A14" s="12" t="inlineStr">
        <is>
          <t>Easy Target</t>
        </is>
      </c>
      <c r="B14" s="12" t="inlineStr">
        <is>
          <t>STR</t>
        </is>
      </c>
      <c r="C14" s="12" t="n">
        <v>3</v>
      </c>
      <c r="D14" s="12" t="inlineStr">
        <is>
          <t>dmg_vs_crippled</t>
        </is>
      </c>
      <c r="E14" s="12" t="inlineStr">
        <is>
          <t>Confirmed</t>
        </is>
      </c>
      <c r="F14" s="12" t="inlineStr">
        <is>
          <t>fallout.wiki - Easy Target (individually verified page); WebSearch cross-check (Shotgunner rename) (cross-checked this session)</t>
        </is>
      </c>
      <c r="G14" s="12" t="n">
        <v>0</v>
      </c>
      <c r="H14" s="12" t="n">
        <v>1</v>
      </c>
      <c r="I14" s="12" t="n">
        <v>2</v>
      </c>
      <c r="J14" s="12" t="n">
        <v>3</v>
      </c>
      <c r="K14" s="12" t="n">
        <v>3</v>
      </c>
      <c r="L14" s="12" t="n">
        <v>0</v>
      </c>
      <c r="M14" s="12" t="n">
        <v>0.25</v>
      </c>
      <c r="N14" s="12" t="n">
        <v>0.5</v>
      </c>
      <c r="O14" s="12" t="n">
        <v>0.75</v>
      </c>
      <c r="P14" s="12" t="n">
        <v>0</v>
      </c>
    </row>
    <row r="15">
      <c r="A15" s="12" t="inlineStr">
        <is>
          <t>Full Charge</t>
        </is>
      </c>
      <c r="B15" s="12" t="inlineStr">
        <is>
          <t>STR</t>
        </is>
      </c>
      <c r="C15" s="12" t="n">
        <v>2</v>
      </c>
      <c r="D15" s="12" t="inlineStr">
        <is>
          <t>non_combat</t>
        </is>
      </c>
      <c r="E15" s="12" t="inlineStr">
        <is>
          <t>Likely</t>
        </is>
      </c>
      <c r="F15" s="12" t="inlineStr">
        <is>
          <t>fallout.wiki - Fallout 76 Perks (Strength section)</t>
        </is>
      </c>
      <c r="G15" s="12" t="n">
        <v>0</v>
      </c>
      <c r="H15" s="12" t="n">
        <v>1</v>
      </c>
      <c r="I15" s="12" t="n">
        <v>2</v>
      </c>
      <c r="J15" s="12" t="n">
        <v>2</v>
      </c>
      <c r="K15" s="12" t="n">
        <v>2</v>
      </c>
      <c r="L15" s="12" t="n">
        <v>0</v>
      </c>
      <c r="M15" s="12" t="n">
        <v>0</v>
      </c>
      <c r="N15" s="12" t="n">
        <v>0</v>
      </c>
      <c r="O15" s="12" t="n">
        <v>0</v>
      </c>
      <c r="P15" s="12" t="n">
        <v>0</v>
      </c>
    </row>
    <row r="16">
      <c r="A16" s="12" t="inlineStr">
        <is>
          <t>Heavy Hitter</t>
        </is>
      </c>
      <c r="B16" s="12" t="inlineStr">
        <is>
          <t>STR</t>
        </is>
      </c>
      <c r="C16" s="12" t="n">
        <v>1</v>
      </c>
      <c r="D16" s="12" t="inlineStr">
        <is>
          <t>catalogued_not_wired</t>
        </is>
      </c>
      <c r="E16" s="12" t="inlineStr">
        <is>
          <t>Confirmed</t>
        </is>
      </c>
      <c r="F16" s="12" t="inlineStr">
        <is>
          <t>nukaknights.com Patch 62 changelog (Slugger Master -&gt; Heavy Hitter)</t>
        </is>
      </c>
      <c r="G16" s="12" t="n">
        <v>0</v>
      </c>
      <c r="H16" s="12" t="n">
        <v>3</v>
      </c>
      <c r="I16" s="12" t="n">
        <v>3</v>
      </c>
      <c r="J16" s="12" t="n">
        <v>3</v>
      </c>
      <c r="K16" s="12" t="n">
        <v>3</v>
      </c>
      <c r="L16" s="12" t="n">
        <v>0</v>
      </c>
      <c r="M16" s="12" t="n">
        <v>0</v>
      </c>
      <c r="N16" s="12" t="n">
        <v>0</v>
      </c>
      <c r="O16" s="12" t="n">
        <v>0</v>
      </c>
      <c r="P16" s="12" t="n">
        <v>0</v>
      </c>
    </row>
    <row r="17">
      <c r="A17" s="12" t="inlineStr">
        <is>
          <t>Incisor</t>
        </is>
      </c>
      <c r="B17" s="12" t="inlineStr">
        <is>
          <t>STR</t>
        </is>
      </c>
      <c r="C17" s="12" t="n">
        <v>3</v>
      </c>
      <c r="D17" s="12" t="inlineStr">
        <is>
          <t>catalogued_not_wired</t>
        </is>
      </c>
      <c r="E17" s="12" t="inlineStr">
        <is>
          <t>Likely</t>
        </is>
      </c>
      <c r="F17" s="12" t="inlineStr">
        <is>
          <t>fallout.wiki - Fallout 76 Perks (Strength section)</t>
        </is>
      </c>
      <c r="G17" s="12" t="n">
        <v>0</v>
      </c>
      <c r="H17" s="12" t="n">
        <v>1</v>
      </c>
      <c r="I17" s="12" t="n">
        <v>2</v>
      </c>
      <c r="J17" s="12" t="n">
        <v>3</v>
      </c>
      <c r="K17" s="12" t="n">
        <v>3</v>
      </c>
      <c r="L17" s="12" t="n">
        <v>0</v>
      </c>
      <c r="M17" s="12" t="n">
        <v>0</v>
      </c>
      <c r="N17" s="12" t="n">
        <v>0</v>
      </c>
      <c r="O17" s="12" t="n">
        <v>0</v>
      </c>
      <c r="P17" s="12" t="n">
        <v>0</v>
      </c>
    </row>
    <row r="18">
      <c r="A18" s="12" t="inlineStr">
        <is>
          <t>Iron Fist</t>
        </is>
      </c>
      <c r="B18" s="12" t="inlineStr">
        <is>
          <t>STR</t>
        </is>
      </c>
      <c r="C18" s="12" t="n">
        <v>1</v>
      </c>
      <c r="D18" s="12" t="inlineStr">
        <is>
          <t>catalogued_not_wired</t>
        </is>
      </c>
      <c r="E18" s="12" t="inlineStr">
        <is>
          <t>Confirmed</t>
        </is>
      </c>
      <c r="F18" s="12" t="inlineStr">
        <is>
          <t>fallout.wiki - Iron Fist (Fallout 76), individually verified</t>
        </is>
      </c>
      <c r="G18" s="12" t="n">
        <v>0</v>
      </c>
      <c r="H18" s="12" t="n">
        <v>1</v>
      </c>
      <c r="I18" s="12" t="n">
        <v>1</v>
      </c>
      <c r="J18" s="12" t="n">
        <v>1</v>
      </c>
      <c r="K18" s="12" t="n">
        <v>1</v>
      </c>
      <c r="L18" s="12" t="n">
        <v>0</v>
      </c>
      <c r="M18" s="12" t="n">
        <v>0</v>
      </c>
      <c r="N18" s="12" t="n">
        <v>0</v>
      </c>
      <c r="O18" s="12" t="n">
        <v>0</v>
      </c>
      <c r="P18" s="12" t="n">
        <v>0</v>
      </c>
    </row>
    <row r="19">
      <c r="A19" s="12" t="inlineStr">
        <is>
          <t>Knee-Capper</t>
        </is>
      </c>
      <c r="B19" s="12" t="inlineStr">
        <is>
          <t>STR</t>
        </is>
      </c>
      <c r="C19" s="12" t="n">
        <v>1</v>
      </c>
      <c r="D19" s="12" t="inlineStr">
        <is>
          <t>catalogued_not_wired</t>
        </is>
      </c>
      <c r="E19" s="12" t="inlineStr">
        <is>
          <t>Confirmed</t>
        </is>
      </c>
      <c r="F19" s="12" t="inlineStr">
        <is>
          <t>nukaknights.com Patch 62 changelog (Slugger Expert -&gt; Knee-Capper)</t>
        </is>
      </c>
      <c r="G19" s="12" t="n">
        <v>0</v>
      </c>
      <c r="H19" s="12" t="n">
        <v>2</v>
      </c>
      <c r="I19" s="12" t="n">
        <v>2</v>
      </c>
      <c r="J19" s="12" t="n">
        <v>2</v>
      </c>
      <c r="K19" s="12" t="n">
        <v>2</v>
      </c>
      <c r="L19" s="12" t="n">
        <v>0</v>
      </c>
      <c r="M19" s="12" t="n">
        <v>0</v>
      </c>
      <c r="N19" s="12" t="n">
        <v>0</v>
      </c>
      <c r="O19" s="12" t="n">
        <v>0</v>
      </c>
      <c r="P19" s="12" t="n">
        <v>0</v>
      </c>
    </row>
    <row r="20">
      <c r="A20" s="12" t="inlineStr">
        <is>
          <t>Lock and Load</t>
        </is>
      </c>
      <c r="B20" s="12" t="inlineStr">
        <is>
          <t>STR</t>
        </is>
      </c>
      <c r="C20" s="12" t="n">
        <v>1</v>
      </c>
      <c r="D20" s="12" t="inlineStr">
        <is>
          <t>catalogued_not_wired</t>
        </is>
      </c>
      <c r="E20" s="12" t="inlineStr">
        <is>
          <t>Confirmed</t>
        </is>
      </c>
      <c r="F20" s="12" t="inlineStr">
        <is>
          <t>nukaknights.com Patch 62 changelog; fallout.wiki section fetch</t>
        </is>
      </c>
      <c r="G20" s="12" t="n">
        <v>0</v>
      </c>
      <c r="H20" s="12" t="n">
        <v>2</v>
      </c>
      <c r="I20" s="12" t="n">
        <v>2</v>
      </c>
      <c r="J20" s="12" t="n">
        <v>2</v>
      </c>
      <c r="K20" s="12" t="n">
        <v>2</v>
      </c>
      <c r="L20" s="12" t="n">
        <v>0</v>
      </c>
      <c r="M20" s="12" t="n">
        <v>0</v>
      </c>
      <c r="N20" s="12" t="n">
        <v>0</v>
      </c>
      <c r="O20" s="12" t="n">
        <v>0</v>
      </c>
      <c r="P20" s="12" t="n">
        <v>0</v>
      </c>
    </row>
    <row r="21">
      <c r="A21" s="12" t="inlineStr">
        <is>
          <t>Love the Spread</t>
        </is>
      </c>
      <c r="B21" s="12" t="inlineStr">
        <is>
          <t>STR</t>
        </is>
      </c>
      <c r="C21" s="12" t="n">
        <v>1</v>
      </c>
      <c r="D21" s="12" t="inlineStr">
        <is>
          <t>catalogued_not_wired</t>
        </is>
      </c>
      <c r="E21" s="12" t="inlineStr">
        <is>
          <t>Likely</t>
        </is>
      </c>
      <c r="F21" s="12" t="inlineStr">
        <is>
          <t>fallout.wiki - Fallout 76 Perks (Strength section)</t>
        </is>
      </c>
      <c r="G21" s="12" t="n">
        <v>0</v>
      </c>
      <c r="H21" s="12" t="n">
        <v>2</v>
      </c>
      <c r="I21" s="12" t="n">
        <v>2</v>
      </c>
      <c r="J21" s="12" t="n">
        <v>2</v>
      </c>
      <c r="K21" s="12" t="n">
        <v>2</v>
      </c>
      <c r="L21" s="12" t="n">
        <v>0</v>
      </c>
      <c r="M21" s="12" t="n">
        <v>0</v>
      </c>
      <c r="N21" s="12" t="n">
        <v>0</v>
      </c>
      <c r="O21" s="12" t="n">
        <v>0</v>
      </c>
      <c r="P21" s="12" t="n">
        <v>0</v>
      </c>
    </row>
    <row r="22">
      <c r="A22" s="12" t="inlineStr">
        <is>
          <t>Martial Artist</t>
        </is>
      </c>
      <c r="B22" s="12" t="inlineStr">
        <is>
          <t>STR</t>
        </is>
      </c>
      <c r="C22" s="12" t="n">
        <v>3</v>
      </c>
      <c r="D22" s="12" t="inlineStr">
        <is>
          <t>catalogued_not_wired</t>
        </is>
      </c>
      <c r="E22" s="12" t="inlineStr">
        <is>
          <t>Confirmed</t>
        </is>
      </c>
      <c r="F22" s="12" t="inlineStr">
        <is>
          <t>fallout.wiki - Martial Artist, individually verified</t>
        </is>
      </c>
      <c r="G22" s="12" t="n">
        <v>0</v>
      </c>
      <c r="H22" s="12" t="n">
        <v>1</v>
      </c>
      <c r="I22" s="12" t="n">
        <v>2</v>
      </c>
      <c r="J22" s="12" t="n">
        <v>3</v>
      </c>
      <c r="K22" s="12" t="n">
        <v>3</v>
      </c>
      <c r="L22" s="12" t="n">
        <v>0</v>
      </c>
      <c r="M22" s="12" t="n">
        <v>0</v>
      </c>
      <c r="N22" s="12" t="n">
        <v>0</v>
      </c>
      <c r="O22" s="12" t="n">
        <v>0</v>
      </c>
      <c r="P22" s="12" t="n">
        <v>0</v>
      </c>
    </row>
    <row r="23">
      <c r="A23" s="12" t="inlineStr">
        <is>
          <t>Natural Stance</t>
        </is>
      </c>
      <c r="B23" s="12" t="inlineStr">
        <is>
          <t>STR</t>
        </is>
      </c>
      <c r="C23" s="12" t="n">
        <v>1</v>
      </c>
      <c r="D23" s="12" t="inlineStr">
        <is>
          <t>catalogued_not_wired</t>
        </is>
      </c>
      <c r="E23" s="12" t="inlineStr">
        <is>
          <t>Confirmed</t>
        </is>
      </c>
      <c r="F23" s="12" t="inlineStr">
        <is>
          <t>nukaknights.com Patch 62 changelog (Gladiator Expert -&gt; Natural Stance)</t>
        </is>
      </c>
      <c r="G23" s="12" t="n">
        <v>0</v>
      </c>
      <c r="H23" s="12" t="n">
        <v>1</v>
      </c>
      <c r="I23" s="12" t="n">
        <v>1</v>
      </c>
      <c r="J23" s="12" t="n">
        <v>1</v>
      </c>
      <c r="K23" s="12" t="n">
        <v>1</v>
      </c>
      <c r="L23" s="12" t="n">
        <v>0</v>
      </c>
      <c r="M23" s="12" t="n">
        <v>0</v>
      </c>
      <c r="N23" s="12" t="n">
        <v>0</v>
      </c>
      <c r="O23" s="12" t="n">
        <v>0</v>
      </c>
      <c r="P23" s="12" t="n">
        <v>0</v>
      </c>
    </row>
    <row r="24">
      <c r="A24" s="12" t="inlineStr">
        <is>
          <t>Ordnance Express</t>
        </is>
      </c>
      <c r="B24" s="12" t="inlineStr">
        <is>
          <t>STR</t>
        </is>
      </c>
      <c r="C24" s="12" t="n">
        <v>2</v>
      </c>
      <c r="D24" s="12" t="inlineStr">
        <is>
          <t>non_combat</t>
        </is>
      </c>
      <c r="E24" s="12" t="inlineStr">
        <is>
          <t>Likely</t>
        </is>
      </c>
      <c r="F24" s="12" t="inlineStr">
        <is>
          <t>fallout.wiki - Fallout 76 Perks (Strength section)</t>
        </is>
      </c>
      <c r="G24" s="12" t="n">
        <v>0</v>
      </c>
      <c r="H24" s="12" t="n">
        <v>1</v>
      </c>
      <c r="I24" s="12" t="n">
        <v>2</v>
      </c>
      <c r="J24" s="12" t="n">
        <v>2</v>
      </c>
      <c r="K24" s="12" t="n">
        <v>2</v>
      </c>
      <c r="L24" s="12" t="n">
        <v>0</v>
      </c>
      <c r="M24" s="12" t="n">
        <v>0</v>
      </c>
      <c r="N24" s="12" t="n">
        <v>0</v>
      </c>
      <c r="O24" s="12" t="n">
        <v>0</v>
      </c>
      <c r="P24" s="12" t="n">
        <v>0</v>
      </c>
    </row>
    <row r="25">
      <c r="A25" s="12" t="inlineStr">
        <is>
          <t>Pack Rat</t>
        </is>
      </c>
      <c r="B25" s="12" t="inlineStr">
        <is>
          <t>STR</t>
        </is>
      </c>
      <c r="C25" s="12" t="n">
        <v>2</v>
      </c>
      <c r="D25" s="12" t="inlineStr">
        <is>
          <t>non_combat</t>
        </is>
      </c>
      <c r="E25" s="12" t="inlineStr">
        <is>
          <t>Likely</t>
        </is>
      </c>
      <c r="F25" s="12" t="inlineStr">
        <is>
          <t>fallout.wiki - Fallout 76 Perks (Strength section)</t>
        </is>
      </c>
      <c r="G25" s="12" t="n">
        <v>0</v>
      </c>
      <c r="H25" s="12" t="n">
        <v>1</v>
      </c>
      <c r="I25" s="12" t="n">
        <v>2</v>
      </c>
      <c r="J25" s="12" t="n">
        <v>2</v>
      </c>
      <c r="K25" s="12" t="n">
        <v>2</v>
      </c>
      <c r="L25" s="12" t="n">
        <v>0</v>
      </c>
      <c r="M25" s="12" t="n">
        <v>0</v>
      </c>
      <c r="N25" s="12" t="n">
        <v>0</v>
      </c>
      <c r="O25" s="12" t="n">
        <v>0</v>
      </c>
      <c r="P25" s="12" t="n">
        <v>0</v>
      </c>
    </row>
    <row r="26">
      <c r="A26" s="12" t="inlineStr">
        <is>
          <t>Pain Train</t>
        </is>
      </c>
      <c r="B26" s="12" t="inlineStr">
        <is>
          <t>STR</t>
        </is>
      </c>
      <c r="C26" s="12" t="n">
        <v>3</v>
      </c>
      <c r="D26" s="12" t="inlineStr">
        <is>
          <t>catalogued_not_wired</t>
        </is>
      </c>
      <c r="E26" s="12" t="inlineStr">
        <is>
          <t>Likely</t>
        </is>
      </c>
      <c r="F26" s="12" t="inlineStr">
        <is>
          <t>fallout.wiki section fetch; nukaknights.com PTS July 2025 preview</t>
        </is>
      </c>
      <c r="G26" s="12" t="n">
        <v>0</v>
      </c>
      <c r="H26" s="12" t="n">
        <v>1</v>
      </c>
      <c r="I26" s="12" t="n">
        <v>2</v>
      </c>
      <c r="J26" s="12" t="n">
        <v>3</v>
      </c>
      <c r="K26" s="12" t="n">
        <v>3</v>
      </c>
      <c r="L26" s="12" t="n">
        <v>0</v>
      </c>
      <c r="M26" s="12" t="n">
        <v>0</v>
      </c>
      <c r="N26" s="12" t="n">
        <v>0</v>
      </c>
      <c r="O26" s="12" t="n">
        <v>0</v>
      </c>
      <c r="P26" s="12" t="n">
        <v>0</v>
      </c>
    </row>
    <row r="27">
      <c r="A27" s="12" t="inlineStr">
        <is>
          <t>Portable Power</t>
        </is>
      </c>
      <c r="B27" s="12" t="inlineStr">
        <is>
          <t>STR</t>
        </is>
      </c>
      <c r="C27" s="12" t="n">
        <v>3</v>
      </c>
      <c r="D27" s="12" t="inlineStr">
        <is>
          <t>non_combat</t>
        </is>
      </c>
      <c r="E27" s="12" t="inlineStr">
        <is>
          <t>Likely</t>
        </is>
      </c>
      <c r="F27" s="12" t="inlineStr">
        <is>
          <t>fallout.wiki - Fallout 76 Perks (Strength section)</t>
        </is>
      </c>
      <c r="G27" s="12" t="n">
        <v>0</v>
      </c>
      <c r="H27" s="12" t="n">
        <v>1</v>
      </c>
      <c r="I27" s="12" t="n">
        <v>2</v>
      </c>
      <c r="J27" s="12" t="n">
        <v>3</v>
      </c>
      <c r="K27" s="12" t="n">
        <v>3</v>
      </c>
      <c r="L27" s="12" t="n">
        <v>0</v>
      </c>
      <c r="M27" s="12" t="n">
        <v>0</v>
      </c>
      <c r="N27" s="12" t="n">
        <v>0</v>
      </c>
      <c r="O27" s="12" t="n">
        <v>0</v>
      </c>
      <c r="P27" s="12" t="n">
        <v>0</v>
      </c>
    </row>
    <row r="28">
      <c r="A28" s="12" t="inlineStr">
        <is>
          <t>Scattershot</t>
        </is>
      </c>
      <c r="B28" s="12" t="inlineStr">
        <is>
          <t>STR</t>
        </is>
      </c>
      <c r="C28" s="12" t="n">
        <v>1</v>
      </c>
      <c r="D28" s="12" t="inlineStr">
        <is>
          <t>non_combat_utility</t>
        </is>
      </c>
      <c r="E28" s="12" t="inlineStr">
        <is>
          <t>Likely</t>
        </is>
      </c>
      <c r="F28" s="12" t="inlineStr">
        <is>
          <t>fallout.wiki - Fallout 76 Perks (Strength section)</t>
        </is>
      </c>
      <c r="G28" s="12" t="n">
        <v>0</v>
      </c>
      <c r="H28" s="12" t="n">
        <v>2</v>
      </c>
      <c r="I28" s="12" t="n">
        <v>2</v>
      </c>
      <c r="J28" s="12" t="n">
        <v>2</v>
      </c>
      <c r="K28" s="12" t="n">
        <v>2</v>
      </c>
      <c r="L28" s="12" t="n">
        <v>0</v>
      </c>
      <c r="M28" s="12" t="n">
        <v>0</v>
      </c>
      <c r="N28" s="12" t="n">
        <v>0</v>
      </c>
      <c r="O28" s="12" t="n">
        <v>0</v>
      </c>
      <c r="P28" s="12" t="n">
        <v>0</v>
      </c>
    </row>
    <row r="29">
      <c r="A29" s="12" t="inlineStr">
        <is>
          <t>Shotgun Champ</t>
        </is>
      </c>
      <c r="B29" s="12" t="inlineStr">
        <is>
          <t>STR</t>
        </is>
      </c>
      <c r="C29" s="12" t="n">
        <v>1</v>
      </c>
      <c r="D29" s="12" t="inlineStr">
        <is>
          <t>catalogued_not_wired</t>
        </is>
      </c>
      <c r="E29" s="12" t="inlineStr">
        <is>
          <t>Likely</t>
        </is>
      </c>
      <c r="F29" s="12" t="inlineStr">
        <is>
          <t>fallout.wiki - Fallout 76 Perks (Strength section)</t>
        </is>
      </c>
      <c r="G29" s="12" t="n">
        <v>0</v>
      </c>
      <c r="H29" s="12" t="n">
        <v>3</v>
      </c>
      <c r="I29" s="12" t="n">
        <v>3</v>
      </c>
      <c r="J29" s="12" t="n">
        <v>3</v>
      </c>
      <c r="K29" s="12" t="n">
        <v>3</v>
      </c>
      <c r="L29" s="12" t="n">
        <v>0</v>
      </c>
      <c r="M29" s="12" t="n">
        <v>0</v>
      </c>
      <c r="N29" s="12" t="n">
        <v>0</v>
      </c>
      <c r="O29" s="12" t="n">
        <v>0</v>
      </c>
      <c r="P29" s="12" t="n">
        <v>0</v>
      </c>
    </row>
    <row r="30">
      <c r="A30" s="12" t="inlineStr">
        <is>
          <t>Slugger</t>
        </is>
      </c>
      <c r="B30" s="12" t="inlineStr">
        <is>
          <t>STR</t>
        </is>
      </c>
      <c r="C30" s="12" t="n">
        <v>3</v>
      </c>
      <c r="D30" s="12" t="inlineStr">
        <is>
          <t>catalogued_not_wired</t>
        </is>
      </c>
      <c r="E30" s="12" t="inlineStr">
        <is>
          <t>Confirmed</t>
        </is>
      </c>
      <c r="F30" s="12" t="inlineStr">
        <is>
          <t>nukaknights.com PTS July 2025 / Patch 62 changelog; fallout.wiki section fetch</t>
        </is>
      </c>
      <c r="G30" s="12" t="n">
        <v>0</v>
      </c>
      <c r="H30" s="12" t="n">
        <v>1</v>
      </c>
      <c r="I30" s="12" t="n">
        <v>2</v>
      </c>
      <c r="J30" s="12" t="n">
        <v>3</v>
      </c>
      <c r="K30" s="12" t="n">
        <v>3</v>
      </c>
      <c r="L30" s="12" t="n">
        <v>0</v>
      </c>
      <c r="M30" s="12" t="n">
        <v>0</v>
      </c>
      <c r="N30" s="12" t="n">
        <v>0</v>
      </c>
      <c r="O30" s="12" t="n">
        <v>0</v>
      </c>
      <c r="P30" s="12" t="n">
        <v>0</v>
      </c>
    </row>
    <row r="31">
      <c r="A31" s="12" t="inlineStr">
        <is>
          <t>Strong Arm</t>
        </is>
      </c>
      <c r="B31" s="12" t="inlineStr">
        <is>
          <t>STR</t>
        </is>
      </c>
      <c r="C31" s="12" t="n">
        <v>1</v>
      </c>
      <c r="D31" s="12" t="inlineStr">
        <is>
          <t>catalogued_not_wired</t>
        </is>
      </c>
      <c r="E31" s="12" t="inlineStr">
        <is>
          <t>Confirmed</t>
        </is>
      </c>
      <c r="F31" s="12" t="inlineStr">
        <is>
          <t>nukaknights.com Patch 62 changelog (Fire in the Hole -&gt; Strong Arm, moved from Perception)</t>
        </is>
      </c>
      <c r="G31" s="12" t="n">
        <v>0</v>
      </c>
      <c r="H31" s="12" t="n">
        <v>1</v>
      </c>
      <c r="I31" s="12" t="n">
        <v>1</v>
      </c>
      <c r="J31" s="12" t="n">
        <v>1</v>
      </c>
      <c r="K31" s="12" t="n">
        <v>1</v>
      </c>
      <c r="L31" s="12" t="n">
        <v>0</v>
      </c>
      <c r="M31" s="12" t="n">
        <v>0</v>
      </c>
      <c r="N31" s="12" t="n">
        <v>0</v>
      </c>
      <c r="O31" s="12" t="n">
        <v>0</v>
      </c>
      <c r="P31" s="12" t="n">
        <v>0</v>
      </c>
    </row>
    <row r="32">
      <c r="A32" s="12" t="inlineStr">
        <is>
          <t>Strong Back</t>
        </is>
      </c>
      <c r="B32" s="12" t="inlineStr">
        <is>
          <t>STR</t>
        </is>
      </c>
      <c r="C32" s="12" t="n">
        <v>2</v>
      </c>
      <c r="D32" s="12" t="inlineStr">
        <is>
          <t>non_combat</t>
        </is>
      </c>
      <c r="E32" s="12" t="inlineStr">
        <is>
          <t>Likely</t>
        </is>
      </c>
      <c r="F32" s="12" t="inlineStr">
        <is>
          <t>fallout.wiki - Fallout 76 Perks (Strength section)</t>
        </is>
      </c>
      <c r="G32" s="12" t="n">
        <v>0</v>
      </c>
      <c r="H32" s="12" t="n">
        <v>1</v>
      </c>
      <c r="I32" s="12" t="n">
        <v>2</v>
      </c>
      <c r="J32" s="12" t="n">
        <v>2</v>
      </c>
      <c r="K32" s="12" t="n">
        <v>2</v>
      </c>
      <c r="L32" s="12" t="n">
        <v>0</v>
      </c>
      <c r="M32" s="12" t="n">
        <v>0</v>
      </c>
      <c r="N32" s="12" t="n">
        <v>0</v>
      </c>
      <c r="O32" s="12" t="n">
        <v>0</v>
      </c>
      <c r="P32" s="12" t="n">
        <v>0</v>
      </c>
    </row>
    <row r="33">
      <c r="A33" s="12" t="inlineStr">
        <is>
          <t>Sturdy Frame</t>
        </is>
      </c>
      <c r="B33" s="12" t="inlineStr">
        <is>
          <t>STR</t>
        </is>
      </c>
      <c r="C33" s="12" t="n">
        <v>2</v>
      </c>
      <c r="D33" s="12" t="inlineStr">
        <is>
          <t>catalogued_not_wired</t>
        </is>
      </c>
      <c r="E33" s="12" t="inlineStr">
        <is>
          <t>Likely</t>
        </is>
      </c>
      <c r="F33" s="12" t="inlineStr">
        <is>
          <t>fallout.wiki - Fallout 76 Perks (Strength section)</t>
        </is>
      </c>
      <c r="G33" s="12" t="n">
        <v>0</v>
      </c>
      <c r="H33" s="12" t="n">
        <v>1</v>
      </c>
      <c r="I33" s="12" t="n">
        <v>2</v>
      </c>
      <c r="J33" s="12" t="n">
        <v>2</v>
      </c>
      <c r="K33" s="12" t="n">
        <v>2</v>
      </c>
      <c r="L33" s="12" t="n">
        <v>0</v>
      </c>
      <c r="M33" s="12" t="n">
        <v>0</v>
      </c>
      <c r="N33" s="12" t="n">
        <v>0</v>
      </c>
      <c r="O33" s="12" t="n">
        <v>0</v>
      </c>
      <c r="P33" s="12" t="n">
        <v>0</v>
      </c>
    </row>
    <row r="34">
      <c r="A34" s="12" t="inlineStr">
        <is>
          <t>Tightly Wound</t>
        </is>
      </c>
      <c r="B34" s="12" t="inlineStr">
        <is>
          <t>STR</t>
        </is>
      </c>
      <c r="C34" s="12" t="n">
        <v>1</v>
      </c>
      <c r="D34" s="12" t="inlineStr">
        <is>
          <t>catalogued_not_wired</t>
        </is>
      </c>
      <c r="E34" s="12" t="inlineStr">
        <is>
          <t>Confirmed</t>
        </is>
      </c>
      <c r="F34" s="12" t="inlineStr">
        <is>
          <t>nukaknights.com Patch 62 changelog (Heavy Gunner Expert -&gt; Tightly Wound)</t>
        </is>
      </c>
      <c r="G34" s="12" t="n">
        <v>0</v>
      </c>
      <c r="H34" s="12" t="n">
        <v>2</v>
      </c>
      <c r="I34" s="12" t="n">
        <v>2</v>
      </c>
      <c r="J34" s="12" t="n">
        <v>2</v>
      </c>
      <c r="K34" s="12" t="n">
        <v>2</v>
      </c>
      <c r="L34" s="12" t="n">
        <v>0</v>
      </c>
      <c r="M34" s="12" t="n">
        <v>0</v>
      </c>
      <c r="N34" s="12" t="n">
        <v>0</v>
      </c>
      <c r="O34" s="12" t="n">
        <v>0</v>
      </c>
      <c r="P34" s="12" t="n">
        <v>0</v>
      </c>
    </row>
    <row r="35">
      <c r="A35" s="12" t="inlineStr">
        <is>
          <t>Traveling Pharmacy</t>
        </is>
      </c>
      <c r="B35" s="12" t="inlineStr">
        <is>
          <t>STR</t>
        </is>
      </c>
      <c r="C35" s="12" t="n">
        <v>2</v>
      </c>
      <c r="D35" s="12" t="inlineStr">
        <is>
          <t>non_combat</t>
        </is>
      </c>
      <c r="E35" s="12" t="inlineStr">
        <is>
          <t>Likely</t>
        </is>
      </c>
      <c r="F35" s="12" t="inlineStr">
        <is>
          <t>fallout.wiki - Fallout 76 Perks (Strength section)</t>
        </is>
      </c>
      <c r="G35" s="12" t="n">
        <v>0</v>
      </c>
      <c r="H35" s="12" t="n">
        <v>1</v>
      </c>
      <c r="I35" s="12" t="n">
        <v>2</v>
      </c>
      <c r="J35" s="12" t="n">
        <v>2</v>
      </c>
      <c r="K35" s="12" t="n">
        <v>2</v>
      </c>
      <c r="L35" s="12" t="n">
        <v>0</v>
      </c>
      <c r="M35" s="12" t="n">
        <v>0</v>
      </c>
      <c r="N35" s="12" t="n">
        <v>0</v>
      </c>
      <c r="O35" s="12" t="n">
        <v>0</v>
      </c>
      <c r="P35" s="12" t="n">
        <v>0</v>
      </c>
    </row>
    <row r="36">
      <c r="A36" s="12" t="inlineStr">
        <is>
          <t>Wound Salter</t>
        </is>
      </c>
      <c r="B36" s="12" t="inlineStr">
        <is>
          <t>STR</t>
        </is>
      </c>
      <c r="C36" s="12" t="n">
        <v>3</v>
      </c>
      <c r="D36" s="12" t="inlineStr">
        <is>
          <t>dmg_vs_bleeding</t>
        </is>
      </c>
      <c r="E36" s="12" t="inlineStr">
        <is>
          <t>Confirmed</t>
        </is>
      </c>
      <c r="F36" s="12" t="inlineStr">
        <is>
          <t>nukaknights.com Patch 62 changelog (Gladiator -&gt; Wound Salter)</t>
        </is>
      </c>
      <c r="G36" s="12" t="n">
        <v>0</v>
      </c>
      <c r="H36" s="12" t="n">
        <v>1</v>
      </c>
      <c r="I36" s="12" t="n">
        <v>2</v>
      </c>
      <c r="J36" s="12" t="n">
        <v>3</v>
      </c>
      <c r="K36" s="12" t="n">
        <v>3</v>
      </c>
      <c r="L36" s="12" t="n">
        <v>0</v>
      </c>
      <c r="M36" s="12" t="n">
        <v>0.1</v>
      </c>
      <c r="N36" s="12" t="n">
        <v>0.2</v>
      </c>
      <c r="O36" s="12" t="n">
        <v>0.3</v>
      </c>
      <c r="P36" s="12" t="n">
        <v>0</v>
      </c>
    </row>
    <row r="37">
      <c r="A37" s="12" t="inlineStr">
        <is>
          <t>Wrecking Ball</t>
        </is>
      </c>
      <c r="B37" s="12" t="inlineStr">
        <is>
          <t>STR</t>
        </is>
      </c>
      <c r="C37" s="12" t="n">
        <v>1</v>
      </c>
      <c r="D37" s="12" t="inlineStr">
        <is>
          <t>non_combat</t>
        </is>
      </c>
      <c r="E37" s="12" t="inlineStr">
        <is>
          <t>Likely</t>
        </is>
      </c>
      <c r="F37" s="12" t="inlineStr">
        <is>
          <t>fallout.wiki - Fallout 76 Perks (Strength section)</t>
        </is>
      </c>
      <c r="G37" s="12" t="n">
        <v>0</v>
      </c>
      <c r="H37" s="12" t="n">
        <v>1</v>
      </c>
      <c r="I37" s="12" t="n">
        <v>1</v>
      </c>
      <c r="J37" s="12" t="n">
        <v>1</v>
      </c>
      <c r="K37" s="12" t="n">
        <v>1</v>
      </c>
      <c r="L37" s="12" t="n">
        <v>0</v>
      </c>
      <c r="M37" s="12" t="n">
        <v>0</v>
      </c>
      <c r="N37" s="12" t="n">
        <v>0</v>
      </c>
      <c r="O37" s="12" t="n">
        <v>0</v>
      </c>
      <c r="P37" s="12" t="n">
        <v>0</v>
      </c>
    </row>
    <row r="38">
      <c r="A38" s="12" t="inlineStr">
        <is>
          <t>Arms of Steel</t>
        </is>
      </c>
      <c r="B38" s="12" t="inlineStr">
        <is>
          <t>STR</t>
        </is>
      </c>
      <c r="C38" s="12" t="n">
        <v>2</v>
      </c>
      <c r="D38" s="12" t="inlineStr">
        <is>
          <t>catalogued_not_wired</t>
        </is>
      </c>
      <c r="E38" s="12" t="inlineStr">
        <is>
          <t>Likely</t>
        </is>
      </c>
      <c r="F38" s="12" t="inlineStr">
        <is>
          <t>fallout.wiki - Fallout 76 Perks (Ghoul Strength section); WebSearch ghoul perk list cross-check</t>
        </is>
      </c>
      <c r="G38" s="12" t="n">
        <v>0</v>
      </c>
      <c r="H38" s="12" t="n">
        <v>1</v>
      </c>
      <c r="I38" s="12" t="n">
        <v>2</v>
      </c>
      <c r="J38" s="12" t="n">
        <v>2</v>
      </c>
      <c r="K38" s="12" t="n">
        <v>2</v>
      </c>
      <c r="L38" s="12" t="n">
        <v>0</v>
      </c>
      <c r="M38" s="12" t="n">
        <v>0</v>
      </c>
      <c r="N38" s="12" t="n">
        <v>0</v>
      </c>
      <c r="O38" s="12" t="n">
        <v>0</v>
      </c>
      <c r="P38" s="12" t="n">
        <v>0</v>
      </c>
    </row>
    <row r="39">
      <c r="A39" s="12" t="inlineStr">
        <is>
          <t>Bone Shatterer</t>
        </is>
      </c>
      <c r="B39" s="12" t="inlineStr">
        <is>
          <t>STR</t>
        </is>
      </c>
      <c r="C39" s="12" t="n">
        <v>3</v>
      </c>
      <c r="D39" s="12" t="inlineStr">
        <is>
          <t>catalogued_not_wired</t>
        </is>
      </c>
      <c r="E39" s="12" t="inlineStr">
        <is>
          <t>Likely</t>
        </is>
      </c>
      <c r="F39" s="12" t="inlineStr">
        <is>
          <t>fallout.wiki - Fallout 76 Perks (Ghoul Strength section)</t>
        </is>
      </c>
      <c r="G39" s="12" t="n">
        <v>0</v>
      </c>
      <c r="H39" s="12" t="n">
        <v>1</v>
      </c>
      <c r="I39" s="12" t="n">
        <v>2</v>
      </c>
      <c r="J39" s="12" t="n">
        <v>3</v>
      </c>
      <c r="K39" s="12" t="n">
        <v>3</v>
      </c>
      <c r="L39" s="12" t="n">
        <v>0</v>
      </c>
      <c r="M39" s="12" t="n">
        <v>0</v>
      </c>
      <c r="N39" s="12" t="n">
        <v>0</v>
      </c>
      <c r="O39" s="12" t="n">
        <v>0</v>
      </c>
      <c r="P39" s="12" t="n">
        <v>0</v>
      </c>
    </row>
    <row r="40">
      <c r="A40" s="12" t="inlineStr">
        <is>
          <t>Brick Wall</t>
        </is>
      </c>
      <c r="B40" s="12" t="inlineStr">
        <is>
          <t>STR</t>
        </is>
      </c>
      <c r="C40" s="12" t="n">
        <v>1</v>
      </c>
      <c r="D40" s="12" t="inlineStr">
        <is>
          <t>non_combat</t>
        </is>
      </c>
      <c r="E40" s="12" t="inlineStr">
        <is>
          <t>Confirmed</t>
        </is>
      </c>
      <c r="F40" s="12" t="inlineStr">
        <is>
          <t>fallout.wiki - Fallout 76 Perks (Ghoul Strength section) (cross-checked this session)</t>
        </is>
      </c>
      <c r="G40" s="12" t="n">
        <v>0</v>
      </c>
      <c r="H40" s="12" t="n">
        <v>2</v>
      </c>
      <c r="I40" s="12" t="n">
        <v>2</v>
      </c>
      <c r="J40" s="12" t="n">
        <v>2</v>
      </c>
      <c r="K40" s="12" t="n">
        <v>2</v>
      </c>
      <c r="L40" s="12" t="n">
        <v>0</v>
      </c>
      <c r="M40" s="12" t="n">
        <v>0</v>
      </c>
      <c r="N40" s="12" t="n">
        <v>0</v>
      </c>
      <c r="O40" s="12" t="n">
        <v>0</v>
      </c>
      <c r="P40" s="12" t="n">
        <v>0</v>
      </c>
    </row>
    <row r="41">
      <c r="A41" s="12" t="inlineStr">
        <is>
          <t>Radioactive Strength</t>
        </is>
      </c>
      <c r="B41" s="12" t="inlineStr">
        <is>
          <t>STR</t>
        </is>
      </c>
      <c r="C41" s="12" t="n">
        <v>3</v>
      </c>
      <c r="D41" s="12" t="inlineStr">
        <is>
          <t>catalogued_not_wired</t>
        </is>
      </c>
      <c r="E41" s="12" t="inlineStr">
        <is>
          <t>Likely</t>
        </is>
      </c>
      <c r="F41" s="12" t="inlineStr">
        <is>
          <t>fallout.wiki - Fallout 76 Perks (Ghoul Strength section)</t>
        </is>
      </c>
      <c r="G41" s="12" t="n">
        <v>0</v>
      </c>
      <c r="H41" s="12" t="n">
        <v>1</v>
      </c>
      <c r="I41" s="12" t="n">
        <v>2</v>
      </c>
      <c r="J41" s="12" t="n">
        <v>3</v>
      </c>
      <c r="K41" s="12" t="n">
        <v>3</v>
      </c>
      <c r="L41" s="12" t="n">
        <v>0</v>
      </c>
      <c r="M41" s="12" t="n">
        <v>0</v>
      </c>
      <c r="N41" s="12" t="n">
        <v>0</v>
      </c>
      <c r="O41" s="12" t="n">
        <v>0</v>
      </c>
      <c r="P41" s="12" t="n">
        <v>0</v>
      </c>
    </row>
    <row r="42">
      <c r="A42" s="12" t="inlineStr">
        <is>
          <t>Awareness</t>
        </is>
      </c>
      <c r="B42" s="12" t="inlineStr">
        <is>
          <t>PER</t>
        </is>
      </c>
      <c r="C42" s="12" t="n">
        <v>1</v>
      </c>
      <c r="D42" s="12" t="inlineStr">
        <is>
          <t>non_combat</t>
        </is>
      </c>
      <c r="E42" s="12" t="inlineStr">
        <is>
          <t>Confirmed</t>
        </is>
      </c>
      <c r="F42" s="12" t="inlineStr">
        <is>
          <t>fallout.wiki - Fallout 76 Perks (Perception section); WebSearch cross-check (cross-checked this session)</t>
        </is>
      </c>
      <c r="G42" s="12" t="n">
        <v>0</v>
      </c>
      <c r="H42" s="12" t="n">
        <v>2</v>
      </c>
      <c r="I42" s="12" t="n">
        <v>2</v>
      </c>
      <c r="J42" s="12" t="n">
        <v>2</v>
      </c>
      <c r="K42" s="12" t="n">
        <v>2</v>
      </c>
      <c r="L42" s="12" t="n">
        <v>0</v>
      </c>
      <c r="M42" s="12" t="n">
        <v>0</v>
      </c>
      <c r="N42" s="12" t="n">
        <v>0</v>
      </c>
      <c r="O42" s="12" t="n">
        <v>0</v>
      </c>
      <c r="P42" s="12" t="n">
        <v>0</v>
      </c>
    </row>
    <row r="43">
      <c r="A43" s="12" t="inlineStr">
        <is>
          <t>Bow Before Me</t>
        </is>
      </c>
      <c r="B43" s="12" t="inlineStr">
        <is>
          <t>PER</t>
        </is>
      </c>
      <c r="C43" s="12" t="n">
        <v>2</v>
      </c>
      <c r="D43" s="12" t="inlineStr">
        <is>
          <t>catalogued_not_wired</t>
        </is>
      </c>
      <c r="E43" s="12" t="inlineStr">
        <is>
          <t>Confirmed</t>
        </is>
      </c>
      <c r="F43" s="12" t="inlineStr">
        <is>
          <t>nukaknights.com Patch 62 changelog; fallout.wiki section fetch</t>
        </is>
      </c>
      <c r="G43" s="12" t="n">
        <v>0</v>
      </c>
      <c r="H43" s="12" t="n">
        <v>1</v>
      </c>
      <c r="I43" s="12" t="n">
        <v>2</v>
      </c>
      <c r="J43" s="12" t="n">
        <v>2</v>
      </c>
      <c r="K43" s="12" t="n">
        <v>2</v>
      </c>
      <c r="L43" s="12" t="n">
        <v>0</v>
      </c>
      <c r="M43" s="12" t="n">
        <v>0</v>
      </c>
      <c r="N43" s="12" t="n">
        <v>0</v>
      </c>
      <c r="O43" s="12" t="n">
        <v>0</v>
      </c>
      <c r="P43" s="12" t="n">
        <v>0</v>
      </c>
    </row>
    <row r="44">
      <c r="A44" s="12" t="inlineStr">
        <is>
          <t>Butcher's Bounty</t>
        </is>
      </c>
      <c r="B44" s="12" t="inlineStr">
        <is>
          <t>PER</t>
        </is>
      </c>
      <c r="C44" s="12" t="n">
        <v>3</v>
      </c>
      <c r="D44" s="12" t="inlineStr">
        <is>
          <t>non_combat</t>
        </is>
      </c>
      <c r="E44" s="12" t="inlineStr">
        <is>
          <t>Likely</t>
        </is>
      </c>
      <c r="F44" s="12" t="inlineStr">
        <is>
          <t>fallout.wiki - Fallout 76 Perks (Perception section)</t>
        </is>
      </c>
      <c r="G44" s="12" t="n">
        <v>0</v>
      </c>
      <c r="H44" s="12" t="n">
        <v>1</v>
      </c>
      <c r="I44" s="12" t="n">
        <v>2</v>
      </c>
      <c r="J44" s="12" t="n">
        <v>3</v>
      </c>
      <c r="K44" s="12" t="n">
        <v>3</v>
      </c>
      <c r="L44" s="12" t="n">
        <v>0</v>
      </c>
      <c r="M44" s="12" t="n">
        <v>0</v>
      </c>
      <c r="N44" s="12" t="n">
        <v>0</v>
      </c>
      <c r="O44" s="12" t="n">
        <v>0</v>
      </c>
      <c r="P44" s="12" t="n">
        <v>0</v>
      </c>
    </row>
    <row r="45">
      <c r="A45" s="12" t="inlineStr">
        <is>
          <t>Center Masochist</t>
        </is>
      </c>
      <c r="B45" s="12" t="inlineStr">
        <is>
          <t>PER</t>
        </is>
      </c>
      <c r="C45" s="12" t="n">
        <v>3</v>
      </c>
      <c r="D45" s="12" t="inlineStr">
        <is>
          <t>dmg_general_torso_hit</t>
        </is>
      </c>
      <c r="E45" s="12" t="inlineStr">
        <is>
          <t>Confirmed</t>
        </is>
      </c>
      <c r="F45" s="12" t="inlineStr">
        <is>
          <t>fallout.wiki - Center Masochist, individually verified (name/mechanic history) (cross-checked this session)</t>
        </is>
      </c>
      <c r="G45" s="12" t="n">
        <v>0</v>
      </c>
      <c r="H45" s="12" t="n">
        <v>1</v>
      </c>
      <c r="I45" s="12" t="n">
        <v>2</v>
      </c>
      <c r="J45" s="12" t="n">
        <v>3</v>
      </c>
      <c r="K45" s="12" t="n">
        <v>3</v>
      </c>
      <c r="L45" s="12" t="n">
        <v>0</v>
      </c>
      <c r="M45" s="12" t="n">
        <v>0.25</v>
      </c>
      <c r="N45" s="12" t="n">
        <v>0.5</v>
      </c>
      <c r="O45" s="12" t="n">
        <v>0.75</v>
      </c>
      <c r="P45" s="12" t="n">
        <v>0</v>
      </c>
    </row>
    <row r="46">
      <c r="A46" s="12" t="inlineStr">
        <is>
          <t>Concentrated Fire</t>
        </is>
      </c>
      <c r="B46" s="12" t="inlineStr">
        <is>
          <t>PER</t>
        </is>
      </c>
      <c r="C46" s="12" t="n">
        <v>3</v>
      </c>
      <c r="D46" s="12" t="inlineStr">
        <is>
          <t>dmg_general_per_vats_streak_stack</t>
        </is>
      </c>
      <c r="E46" s="12" t="inlineStr">
        <is>
          <t>Likely</t>
        </is>
      </c>
      <c r="F46" s="12" t="inlineStr">
        <is>
          <t>fallout.wiki - Fallout 76 Perks (Perception section)</t>
        </is>
      </c>
      <c r="G46" s="12" t="n">
        <v>0</v>
      </c>
      <c r="H46" s="12" t="n">
        <v>1</v>
      </c>
      <c r="I46" s="12" t="n">
        <v>2</v>
      </c>
      <c r="J46" s="12" t="n">
        <v>3</v>
      </c>
      <c r="K46" s="12" t="n">
        <v>3</v>
      </c>
      <c r="L46" s="12" t="n">
        <v>0</v>
      </c>
      <c r="M46" s="12" t="n">
        <v>0.01</v>
      </c>
      <c r="N46" s="12" t="n">
        <v>0.02</v>
      </c>
      <c r="O46" s="12" t="n">
        <v>0.03</v>
      </c>
      <c r="P46" s="12" t="n">
        <v>0</v>
      </c>
    </row>
    <row r="47">
      <c r="A47" s="12" t="inlineStr">
        <is>
          <t>Crack Shot</t>
        </is>
      </c>
      <c r="B47" s="12" t="inlineStr">
        <is>
          <t>PER</t>
        </is>
      </c>
      <c r="C47" s="12" t="n">
        <v>3</v>
      </c>
      <c r="D47" s="12" t="inlineStr">
        <is>
          <t>catalogued_not_wired</t>
        </is>
      </c>
      <c r="E47" s="12" t="inlineStr">
        <is>
          <t>Likely</t>
        </is>
      </c>
      <c r="F47" s="12" t="inlineStr">
        <is>
          <t>fallout.wiki - Fallout 76 Perks (Perception section)</t>
        </is>
      </c>
      <c r="G47" s="12" t="n">
        <v>0</v>
      </c>
      <c r="H47" s="12" t="n">
        <v>1</v>
      </c>
      <c r="I47" s="12" t="n">
        <v>2</v>
      </c>
      <c r="J47" s="12" t="n">
        <v>3</v>
      </c>
      <c r="K47" s="12" t="n">
        <v>3</v>
      </c>
      <c r="L47" s="12" t="n">
        <v>0</v>
      </c>
      <c r="M47" s="12" t="n">
        <v>0</v>
      </c>
      <c r="N47" s="12" t="n">
        <v>0</v>
      </c>
      <c r="O47" s="12" t="n">
        <v>0</v>
      </c>
      <c r="P47" s="12" t="n">
        <v>0</v>
      </c>
    </row>
    <row r="48">
      <c r="A48" s="12" t="inlineStr">
        <is>
          <t>Deal Sealer</t>
        </is>
      </c>
      <c r="B48" s="12" t="inlineStr">
        <is>
          <t>PER</t>
        </is>
      </c>
      <c r="C48" s="12" t="n">
        <v>1</v>
      </c>
      <c r="D48" s="12" t="inlineStr">
        <is>
          <t>dmg_general_per_impairment</t>
        </is>
      </c>
      <c r="E48" s="12" t="inlineStr">
        <is>
          <t>Confirmed</t>
        </is>
      </c>
      <c r="F48" s="12" t="inlineStr">
        <is>
          <t>nukaknights.com Patch 62/PTS changelog (Archer Expert -&gt; Deal Sealer) (cross-checked this session)</t>
        </is>
      </c>
      <c r="G48" s="12" t="n">
        <v>0</v>
      </c>
      <c r="H48" s="12" t="n">
        <v>2</v>
      </c>
      <c r="I48" s="12" t="n">
        <v>2</v>
      </c>
      <c r="J48" s="12" t="n">
        <v>2</v>
      </c>
      <c r="K48" s="12" t="n">
        <v>2</v>
      </c>
      <c r="L48" s="12" t="n">
        <v>0</v>
      </c>
      <c r="M48" s="12" t="n">
        <v>0.1</v>
      </c>
      <c r="N48" s="12" t="n">
        <v>0</v>
      </c>
      <c r="O48" s="12" t="n">
        <v>0</v>
      </c>
      <c r="P48" s="12" t="n">
        <v>0</v>
      </c>
    </row>
    <row r="49">
      <c r="A49" s="12" t="inlineStr">
        <is>
          <t>Down Ranger</t>
        </is>
      </c>
      <c r="B49" s="12" t="inlineStr">
        <is>
          <t>PER</t>
        </is>
      </c>
      <c r="C49" s="12" t="n">
        <v>3</v>
      </c>
      <c r="D49" s="12" t="inlineStr">
        <is>
          <t>dmg_general_at_range</t>
        </is>
      </c>
      <c r="E49" s="12" t="inlineStr">
        <is>
          <t>Confirmed</t>
        </is>
      </c>
      <c r="F49" s="12" t="inlineStr">
        <is>
          <t>fallout.wiki - Down Ranger, individually verified; WebSearch cross-check (Rifleman rename) (cross-checked this session)</t>
        </is>
      </c>
      <c r="G49" s="12" t="n">
        <v>0</v>
      </c>
      <c r="H49" s="12" t="n">
        <v>1</v>
      </c>
      <c r="I49" s="12" t="n">
        <v>2</v>
      </c>
      <c r="J49" s="12" t="n">
        <v>3</v>
      </c>
      <c r="K49" s="12" t="n">
        <v>3</v>
      </c>
      <c r="L49" s="12" t="n">
        <v>0</v>
      </c>
      <c r="M49" s="12" t="n">
        <v>0.1</v>
      </c>
      <c r="N49" s="12" t="n">
        <v>0.15</v>
      </c>
      <c r="O49" s="12" t="n">
        <v>0.2</v>
      </c>
      <c r="P49" s="12" t="n">
        <v>0</v>
      </c>
    </row>
    <row r="50">
      <c r="A50" s="12" t="inlineStr">
        <is>
          <t>Expert Picklock</t>
        </is>
      </c>
      <c r="B50" s="12" t="inlineStr">
        <is>
          <t>PER</t>
        </is>
      </c>
      <c r="C50" s="12" t="n">
        <v>1</v>
      </c>
      <c r="D50" s="12" t="inlineStr">
        <is>
          <t>non_combat</t>
        </is>
      </c>
      <c r="E50" s="12" t="inlineStr">
        <is>
          <t>Likely</t>
        </is>
      </c>
      <c r="F50" s="12" t="inlineStr">
        <is>
          <t>fallout.wiki - Fallout 76 Perks (Perception section)</t>
        </is>
      </c>
      <c r="G50" s="12" t="n">
        <v>0</v>
      </c>
      <c r="H50" s="12" t="n">
        <v>1</v>
      </c>
      <c r="I50" s="12" t="n">
        <v>1</v>
      </c>
      <c r="J50" s="12" t="n">
        <v>1</v>
      </c>
      <c r="K50" s="12" t="n">
        <v>1</v>
      </c>
      <c r="L50" s="12" t="n">
        <v>0</v>
      </c>
      <c r="M50" s="12" t="n">
        <v>0</v>
      </c>
      <c r="N50" s="12" t="n">
        <v>0</v>
      </c>
      <c r="O50" s="12" t="n">
        <v>0</v>
      </c>
      <c r="P50" s="12" t="n">
        <v>0</v>
      </c>
    </row>
    <row r="51">
      <c r="A51" s="12" t="inlineStr">
        <is>
          <t>Exterminator</t>
        </is>
      </c>
      <c r="B51" s="12" t="inlineStr">
        <is>
          <t>PER</t>
        </is>
      </c>
      <c r="C51" s="12" t="n">
        <v>3</v>
      </c>
      <c r="D51" s="12" t="inlineStr">
        <is>
          <t>catalogued_not_wired</t>
        </is>
      </c>
      <c r="E51" s="12" t="inlineStr">
        <is>
          <t>Likely</t>
        </is>
      </c>
      <c r="F51" s="12" t="inlineStr">
        <is>
          <t>fallout.wiki - Fallout 76 Perks (Perception section)</t>
        </is>
      </c>
      <c r="G51" s="12" t="n">
        <v>0</v>
      </c>
      <c r="H51" s="12" t="n">
        <v>1</v>
      </c>
      <c r="I51" s="12" t="n">
        <v>2</v>
      </c>
      <c r="J51" s="12" t="n">
        <v>3</v>
      </c>
      <c r="K51" s="12" t="n">
        <v>3</v>
      </c>
      <c r="L51" s="12" t="n">
        <v>0</v>
      </c>
      <c r="M51" s="12" t="n">
        <v>0</v>
      </c>
      <c r="N51" s="12" t="n">
        <v>0</v>
      </c>
      <c r="O51" s="12" t="n">
        <v>0</v>
      </c>
      <c r="P51" s="12" t="n">
        <v>0</v>
      </c>
    </row>
    <row r="52">
      <c r="A52" s="12" t="inlineStr">
        <is>
          <t>Fast Fighter</t>
        </is>
      </c>
      <c r="B52" s="12" t="inlineStr">
        <is>
          <t>PER</t>
        </is>
      </c>
      <c r="C52" s="12" t="n">
        <v>1</v>
      </c>
      <c r="D52" s="12" t="inlineStr">
        <is>
          <t>catalogued_not_wired</t>
        </is>
      </c>
      <c r="E52" s="12" t="inlineStr">
        <is>
          <t>Likely</t>
        </is>
      </c>
      <c r="F52" s="12" t="inlineStr">
        <is>
          <t>fallout.wiki - Fallout 76 Perks (Perception section)</t>
        </is>
      </c>
      <c r="G52" s="12" t="n">
        <v>0</v>
      </c>
      <c r="H52" s="12" t="n">
        <v>2</v>
      </c>
      <c r="I52" s="12" t="n">
        <v>2</v>
      </c>
      <c r="J52" s="12" t="n">
        <v>2</v>
      </c>
      <c r="K52" s="12" t="n">
        <v>2</v>
      </c>
      <c r="L52" s="12" t="n">
        <v>0</v>
      </c>
      <c r="M52" s="12" t="n">
        <v>0</v>
      </c>
      <c r="N52" s="12" t="n">
        <v>0</v>
      </c>
      <c r="O52" s="12" t="n">
        <v>0</v>
      </c>
      <c r="P52" s="12" t="n">
        <v>0</v>
      </c>
    </row>
    <row r="53">
      <c r="A53" s="12" t="inlineStr">
        <is>
          <t>Fortune Finder</t>
        </is>
      </c>
      <c r="B53" s="12" t="inlineStr">
        <is>
          <t>PER</t>
        </is>
      </c>
      <c r="C53" s="12" t="n">
        <v>1</v>
      </c>
      <c r="D53" s="12" t="inlineStr">
        <is>
          <t>non_combat</t>
        </is>
      </c>
      <c r="E53" s="12" t="inlineStr">
        <is>
          <t>Likely</t>
        </is>
      </c>
      <c r="F53" s="12" t="inlineStr">
        <is>
          <t>fallout.wiki - Fallout 76 Perks (Perception section)</t>
        </is>
      </c>
      <c r="G53" s="12" t="n">
        <v>0</v>
      </c>
      <c r="H53" s="12" t="n">
        <v>1</v>
      </c>
      <c r="I53" s="12" t="n">
        <v>1</v>
      </c>
      <c r="J53" s="12" t="n">
        <v>1</v>
      </c>
      <c r="K53" s="12" t="n">
        <v>1</v>
      </c>
      <c r="L53" s="12" t="n">
        <v>0</v>
      </c>
      <c r="M53" s="12" t="n">
        <v>0</v>
      </c>
      <c r="N53" s="12" t="n">
        <v>0</v>
      </c>
      <c r="O53" s="12" t="n">
        <v>0</v>
      </c>
      <c r="P53" s="12" t="n">
        <v>0</v>
      </c>
    </row>
    <row r="54">
      <c r="A54" s="12" t="inlineStr">
        <is>
          <t>Glow Sight</t>
        </is>
      </c>
      <c r="B54" s="12" t="inlineStr">
        <is>
          <t>PER</t>
        </is>
      </c>
      <c r="C54" s="12" t="n">
        <v>3</v>
      </c>
      <c r="D54" s="12" t="inlineStr">
        <is>
          <t>catalogued_not_wired</t>
        </is>
      </c>
      <c r="E54" s="12" t="inlineStr">
        <is>
          <t>Likely</t>
        </is>
      </c>
      <c r="F54" s="12" t="inlineStr">
        <is>
          <t>fallout.wiki - Fallout 76 Perks (Perception section)</t>
        </is>
      </c>
      <c r="G54" s="12" t="n">
        <v>0</v>
      </c>
      <c r="H54" s="12" t="n">
        <v>1</v>
      </c>
      <c r="I54" s="12" t="n">
        <v>2</v>
      </c>
      <c r="J54" s="12" t="n">
        <v>3</v>
      </c>
      <c r="K54" s="12" t="n">
        <v>3</v>
      </c>
      <c r="L54" s="12" t="n">
        <v>0</v>
      </c>
      <c r="M54" s="12" t="n">
        <v>0</v>
      </c>
      <c r="N54" s="12" t="n">
        <v>0</v>
      </c>
      <c r="O54" s="12" t="n">
        <v>0</v>
      </c>
      <c r="P54" s="12" t="n">
        <v>0</v>
      </c>
    </row>
    <row r="55">
      <c r="A55" s="12" t="inlineStr">
        <is>
          <t>Green Thumb</t>
        </is>
      </c>
      <c r="B55" s="12" t="inlineStr">
        <is>
          <t>PER</t>
        </is>
      </c>
      <c r="C55" s="12" t="n">
        <v>1</v>
      </c>
      <c r="D55" s="12" t="inlineStr">
        <is>
          <t>non_combat</t>
        </is>
      </c>
      <c r="E55" s="12" t="inlineStr">
        <is>
          <t>Likely</t>
        </is>
      </c>
      <c r="F55" s="12" t="inlineStr">
        <is>
          <t>fallout.wiki - Fallout 76 Perks (Perception section)</t>
        </is>
      </c>
      <c r="G55" s="12" t="n">
        <v>0</v>
      </c>
      <c r="H55" s="12" t="n">
        <v>1</v>
      </c>
      <c r="I55" s="12" t="n">
        <v>1</v>
      </c>
      <c r="J55" s="12" t="n">
        <v>1</v>
      </c>
      <c r="K55" s="12" t="n">
        <v>1</v>
      </c>
      <c r="L55" s="12" t="n">
        <v>0</v>
      </c>
      <c r="M55" s="12" t="n">
        <v>0</v>
      </c>
      <c r="N55" s="12" t="n">
        <v>0</v>
      </c>
      <c r="O55" s="12" t="n">
        <v>0</v>
      </c>
      <c r="P55" s="12" t="n">
        <v>0</v>
      </c>
    </row>
    <row r="56">
      <c r="A56" s="12" t="inlineStr">
        <is>
          <t>Grenadier</t>
        </is>
      </c>
      <c r="B56" s="12" t="inlineStr">
        <is>
          <t>PER</t>
        </is>
      </c>
      <c r="C56" s="12" t="n">
        <v>2</v>
      </c>
      <c r="D56" s="12" t="inlineStr">
        <is>
          <t>catalogued_not_wired</t>
        </is>
      </c>
      <c r="E56" s="12" t="inlineStr">
        <is>
          <t>Likely</t>
        </is>
      </c>
      <c r="F56" s="12" t="inlineStr">
        <is>
          <t>fallout.wiki - Fallout 76 Perks (Perception section)</t>
        </is>
      </c>
      <c r="G56" s="12" t="n">
        <v>0</v>
      </c>
      <c r="H56" s="12" t="n">
        <v>1</v>
      </c>
      <c r="I56" s="12" t="n">
        <v>2</v>
      </c>
      <c r="J56" s="12" t="n">
        <v>2</v>
      </c>
      <c r="K56" s="12" t="n">
        <v>2</v>
      </c>
      <c r="L56" s="12" t="n">
        <v>0</v>
      </c>
      <c r="M56" s="12" t="n">
        <v>0</v>
      </c>
      <c r="N56" s="12" t="n">
        <v>0</v>
      </c>
      <c r="O56" s="12" t="n">
        <v>0</v>
      </c>
      <c r="P56" s="12" t="n">
        <v>0</v>
      </c>
    </row>
    <row r="57">
      <c r="A57" s="12" t="inlineStr">
        <is>
          <t>Ground Pounder</t>
        </is>
      </c>
      <c r="B57" s="12" t="inlineStr">
        <is>
          <t>PER</t>
        </is>
      </c>
      <c r="C57" s="12" t="n">
        <v>3</v>
      </c>
      <c r="D57" s="12" t="inlineStr">
        <is>
          <t>catalogued_not_wired</t>
        </is>
      </c>
      <c r="E57" s="12" t="inlineStr">
        <is>
          <t>Likely</t>
        </is>
      </c>
      <c r="F57" s="12" t="inlineStr">
        <is>
          <t>fallout.wiki - Fallout 76 Perks (Perception section)</t>
        </is>
      </c>
      <c r="G57" s="12" t="n">
        <v>0</v>
      </c>
      <c r="H57" s="12" t="n">
        <v>1</v>
      </c>
      <c r="I57" s="12" t="n">
        <v>2</v>
      </c>
      <c r="J57" s="12" t="n">
        <v>3</v>
      </c>
      <c r="K57" s="12" t="n">
        <v>3</v>
      </c>
      <c r="L57" s="12" t="n">
        <v>0</v>
      </c>
      <c r="M57" s="12" t="n">
        <v>0</v>
      </c>
      <c r="N57" s="12" t="n">
        <v>0</v>
      </c>
      <c r="O57" s="12" t="n">
        <v>0</v>
      </c>
      <c r="P57" s="12" t="n">
        <v>0</v>
      </c>
    </row>
    <row r="58">
      <c r="A58" s="12" t="inlineStr">
        <is>
          <t>Hat Trick</t>
        </is>
      </c>
      <c r="B58" s="12" t="inlineStr">
        <is>
          <t>PER</t>
        </is>
      </c>
      <c r="C58" s="12" t="n">
        <v>3</v>
      </c>
      <c r="D58" s="12" t="inlineStr">
        <is>
          <t>catalogued_not_wired</t>
        </is>
      </c>
      <c r="E58" s="12" t="inlineStr">
        <is>
          <t>Confirmed</t>
        </is>
      </c>
      <c r="F58" s="12" t="inlineStr">
        <is>
          <t>nukaknights.com Patch 62/PTS changelog (Archer -&gt; Hat Trick)</t>
        </is>
      </c>
      <c r="G58" s="12" t="n">
        <v>0</v>
      </c>
      <c r="H58" s="12" t="n">
        <v>1</v>
      </c>
      <c r="I58" s="12" t="n">
        <v>2</v>
      </c>
      <c r="J58" s="12" t="n">
        <v>3</v>
      </c>
      <c r="K58" s="12" t="n">
        <v>3</v>
      </c>
      <c r="L58" s="12" t="n">
        <v>0</v>
      </c>
      <c r="M58" s="12" t="n">
        <v>0</v>
      </c>
      <c r="N58" s="12" t="n">
        <v>0</v>
      </c>
      <c r="O58" s="12" t="n">
        <v>0</v>
      </c>
      <c r="P58" s="12" t="n">
        <v>0</v>
      </c>
    </row>
    <row r="59">
      <c r="A59" s="12" t="inlineStr">
        <is>
          <t>Long Shot</t>
        </is>
      </c>
      <c r="B59" s="12" t="inlineStr">
        <is>
          <t>PER</t>
        </is>
      </c>
      <c r="C59" s="12" t="n">
        <v>1</v>
      </c>
      <c r="D59" s="12" t="inlineStr">
        <is>
          <t>catalogued_not_wired</t>
        </is>
      </c>
      <c r="E59" s="12" t="inlineStr">
        <is>
          <t>Likely</t>
        </is>
      </c>
      <c r="F59" s="12" t="inlineStr">
        <is>
          <t>fallout.wiki - Fallout 76 Perks (Perception section)</t>
        </is>
      </c>
      <c r="G59" s="12" t="n">
        <v>0</v>
      </c>
      <c r="H59" s="12" t="n">
        <v>1</v>
      </c>
      <c r="I59" s="12" t="n">
        <v>1</v>
      </c>
      <c r="J59" s="12" t="n">
        <v>1</v>
      </c>
      <c r="K59" s="12" t="n">
        <v>1</v>
      </c>
      <c r="L59" s="12" t="n">
        <v>0</v>
      </c>
      <c r="M59" s="12" t="n">
        <v>0</v>
      </c>
      <c r="N59" s="12" t="n">
        <v>0</v>
      </c>
      <c r="O59" s="12" t="n">
        <v>0</v>
      </c>
      <c r="P59" s="12" t="n">
        <v>0</v>
      </c>
    </row>
    <row r="60">
      <c r="A60" s="12" t="inlineStr">
        <is>
          <t>Master Archer</t>
        </is>
      </c>
      <c r="B60" s="12" t="inlineStr">
        <is>
          <t>PER</t>
        </is>
      </c>
      <c r="C60" s="12" t="n">
        <v>1</v>
      </c>
      <c r="D60" s="12" t="inlineStr">
        <is>
          <t>catalogued_not_wired</t>
        </is>
      </c>
      <c r="E60" s="12" t="inlineStr">
        <is>
          <t>Confirmed</t>
        </is>
      </c>
      <c r="F60" s="12" t="inlineStr">
        <is>
          <t>nukaknights.com Patch 62/PTS changelog (Archer Master -&gt; Master Archer)</t>
        </is>
      </c>
      <c r="G60" s="12" t="n">
        <v>0</v>
      </c>
      <c r="H60" s="12" t="n">
        <v>1</v>
      </c>
      <c r="I60" s="12" t="n">
        <v>1</v>
      </c>
      <c r="J60" s="12" t="n">
        <v>1</v>
      </c>
      <c r="K60" s="12" t="n">
        <v>1</v>
      </c>
      <c r="L60" s="12" t="n">
        <v>0</v>
      </c>
      <c r="M60" s="12" t="n">
        <v>0</v>
      </c>
      <c r="N60" s="12" t="n">
        <v>0</v>
      </c>
      <c r="O60" s="12" t="n">
        <v>0</v>
      </c>
      <c r="P60" s="12" t="n">
        <v>0</v>
      </c>
    </row>
    <row r="61">
      <c r="A61" s="12" t="inlineStr">
        <is>
          <t>Master Picklock</t>
        </is>
      </c>
      <c r="B61" s="12" t="inlineStr">
        <is>
          <t>PER</t>
        </is>
      </c>
      <c r="C61" s="12" t="n">
        <v>1</v>
      </c>
      <c r="D61" s="12" t="inlineStr">
        <is>
          <t>non_combat</t>
        </is>
      </c>
      <c r="E61" s="12" t="inlineStr">
        <is>
          <t>Likely</t>
        </is>
      </c>
      <c r="F61" s="12" t="inlineStr">
        <is>
          <t>fallout.wiki - Fallout 76 Perks (Perception section)</t>
        </is>
      </c>
      <c r="G61" s="12" t="n">
        <v>0</v>
      </c>
      <c r="H61" s="12" t="n">
        <v>1</v>
      </c>
      <c r="I61" s="12" t="n">
        <v>1</v>
      </c>
      <c r="J61" s="12" t="n">
        <v>1</v>
      </c>
      <c r="K61" s="12" t="n">
        <v>1</v>
      </c>
      <c r="L61" s="12" t="n">
        <v>0</v>
      </c>
      <c r="M61" s="12" t="n">
        <v>0</v>
      </c>
      <c r="N61" s="12" t="n">
        <v>0</v>
      </c>
      <c r="O61" s="12" t="n">
        <v>0</v>
      </c>
      <c r="P61" s="12" t="n">
        <v>0</v>
      </c>
    </row>
    <row r="62">
      <c r="A62" s="12" t="inlineStr">
        <is>
          <t>Night Eyes</t>
        </is>
      </c>
      <c r="B62" s="12" t="inlineStr">
        <is>
          <t>PER</t>
        </is>
      </c>
      <c r="C62" s="12" t="n">
        <v>1</v>
      </c>
      <c r="D62" s="12" t="inlineStr">
        <is>
          <t>non_combat</t>
        </is>
      </c>
      <c r="E62" s="12" t="inlineStr">
        <is>
          <t>Likely</t>
        </is>
      </c>
      <c r="F62" s="12" t="inlineStr">
        <is>
          <t>fallout.wiki - Fallout 76 Perks (Perception section)</t>
        </is>
      </c>
      <c r="G62" s="12" t="n">
        <v>0</v>
      </c>
      <c r="H62" s="12" t="n">
        <v>1</v>
      </c>
      <c r="I62" s="12" t="n">
        <v>1</v>
      </c>
      <c r="J62" s="12" t="n">
        <v>1</v>
      </c>
      <c r="K62" s="12" t="n">
        <v>1</v>
      </c>
      <c r="L62" s="12" t="n">
        <v>0</v>
      </c>
      <c r="M62" s="12" t="n">
        <v>0</v>
      </c>
      <c r="N62" s="12" t="n">
        <v>0</v>
      </c>
      <c r="O62" s="12" t="n">
        <v>0</v>
      </c>
      <c r="P62" s="12" t="n">
        <v>0</v>
      </c>
    </row>
    <row r="63">
      <c r="A63" s="12" t="inlineStr">
        <is>
          <t>Night Person</t>
        </is>
      </c>
      <c r="B63" s="12" t="inlineStr">
        <is>
          <t>PER</t>
        </is>
      </c>
      <c r="C63" s="12" t="n">
        <v>3</v>
      </c>
      <c r="D63" s="12" t="inlineStr">
        <is>
          <t>non_combat</t>
        </is>
      </c>
      <c r="E63" s="12" t="inlineStr">
        <is>
          <t>Likely</t>
        </is>
      </c>
      <c r="F63" s="12" t="inlineStr">
        <is>
          <t>fallout.wiki - Fallout 76 Perks (Perception section)</t>
        </is>
      </c>
      <c r="G63" s="12" t="n">
        <v>0</v>
      </c>
      <c r="H63" s="12" t="n">
        <v>1</v>
      </c>
      <c r="I63" s="12" t="n">
        <v>2</v>
      </c>
      <c r="J63" s="12" t="n">
        <v>3</v>
      </c>
      <c r="K63" s="12" t="n">
        <v>3</v>
      </c>
      <c r="L63" s="12" t="n">
        <v>0</v>
      </c>
      <c r="M63" s="12" t="n">
        <v>0</v>
      </c>
      <c r="N63" s="12" t="n">
        <v>0</v>
      </c>
      <c r="O63" s="12" t="n">
        <v>0</v>
      </c>
      <c r="P63" s="12" t="n">
        <v>0</v>
      </c>
    </row>
    <row r="64">
      <c r="A64" s="12" t="inlineStr">
        <is>
          <t>Number Cruncher</t>
        </is>
      </c>
      <c r="B64" s="12" t="inlineStr">
        <is>
          <t>PER</t>
        </is>
      </c>
      <c r="C64" s="12" t="n">
        <v>1</v>
      </c>
      <c r="D64" s="12" t="inlineStr">
        <is>
          <t>dmg_general_per_ap_cost</t>
        </is>
      </c>
      <c r="E64" s="12" t="inlineStr">
        <is>
          <t>Confirmed</t>
        </is>
      </c>
      <c r="F64" s="12" t="inlineStr">
        <is>
          <t>fallout.wiki - Fallout 76 Perks (Perception section) (cross-checked this session)</t>
        </is>
      </c>
      <c r="G64" s="12" t="n">
        <v>0</v>
      </c>
      <c r="H64" s="12" t="n">
        <v>3</v>
      </c>
      <c r="I64" s="12" t="n">
        <v>3</v>
      </c>
      <c r="J64" s="12" t="n">
        <v>3</v>
      </c>
      <c r="K64" s="12" t="n">
        <v>3</v>
      </c>
      <c r="L64" s="12" t="n">
        <v>0</v>
      </c>
      <c r="M64" s="12" t="n">
        <v>0.02</v>
      </c>
      <c r="N64" s="12" t="n">
        <v>0</v>
      </c>
      <c r="O64" s="12" t="n">
        <v>0</v>
      </c>
      <c r="P64" s="12" t="n">
        <v>0</v>
      </c>
    </row>
    <row r="65">
      <c r="A65" s="12" t="inlineStr">
        <is>
          <t>Pannapictagraphist</t>
        </is>
      </c>
      <c r="B65" s="12" t="inlineStr">
        <is>
          <t>PER</t>
        </is>
      </c>
      <c r="C65" s="12" t="n">
        <v>1</v>
      </c>
      <c r="D65" s="12" t="inlineStr">
        <is>
          <t>non_combat</t>
        </is>
      </c>
      <c r="E65" s="12" t="inlineStr">
        <is>
          <t>Likely</t>
        </is>
      </c>
      <c r="F65" s="12" t="inlineStr">
        <is>
          <t>fallout.wiki - Fallout 76 Perks (Perception section)</t>
        </is>
      </c>
      <c r="G65" s="12" t="n">
        <v>0</v>
      </c>
      <c r="H65" s="12" t="n">
        <v>1</v>
      </c>
      <c r="I65" s="12" t="n">
        <v>1</v>
      </c>
      <c r="J65" s="12" t="n">
        <v>1</v>
      </c>
      <c r="K65" s="12" t="n">
        <v>1</v>
      </c>
      <c r="L65" s="12" t="n">
        <v>0</v>
      </c>
      <c r="M65" s="12" t="n">
        <v>0</v>
      </c>
      <c r="N65" s="12" t="n">
        <v>0</v>
      </c>
      <c r="O65" s="12" t="n">
        <v>0</v>
      </c>
      <c r="P65" s="12" t="n">
        <v>0</v>
      </c>
    </row>
    <row r="66">
      <c r="A66" s="12" t="inlineStr">
        <is>
          <t>Percepti-Bobble</t>
        </is>
      </c>
      <c r="B66" s="12" t="inlineStr">
        <is>
          <t>PER</t>
        </is>
      </c>
      <c r="C66" s="12" t="n">
        <v>1</v>
      </c>
      <c r="D66" s="12" t="inlineStr">
        <is>
          <t>non_combat</t>
        </is>
      </c>
      <c r="E66" s="12" t="inlineStr">
        <is>
          <t>Likely</t>
        </is>
      </c>
      <c r="F66" s="12" t="inlineStr">
        <is>
          <t>fallout.wiki - Fallout 76 Perks (Perception section)</t>
        </is>
      </c>
      <c r="G66" s="12" t="n">
        <v>0</v>
      </c>
      <c r="H66" s="12" t="n">
        <v>1</v>
      </c>
      <c r="I66" s="12" t="n">
        <v>1</v>
      </c>
      <c r="J66" s="12" t="n">
        <v>1</v>
      </c>
      <c r="K66" s="12" t="n">
        <v>1</v>
      </c>
      <c r="L66" s="12" t="n">
        <v>0</v>
      </c>
      <c r="M66" s="12" t="n">
        <v>0</v>
      </c>
      <c r="N66" s="12" t="n">
        <v>0</v>
      </c>
      <c r="O66" s="12" t="n">
        <v>0</v>
      </c>
      <c r="P66" s="12" t="n">
        <v>0</v>
      </c>
    </row>
    <row r="67">
      <c r="A67" s="12" t="inlineStr">
        <is>
          <t>Picklock</t>
        </is>
      </c>
      <c r="B67" s="12" t="inlineStr">
        <is>
          <t>PER</t>
        </is>
      </c>
      <c r="C67" s="12" t="n">
        <v>1</v>
      </c>
      <c r="D67" s="12" t="inlineStr">
        <is>
          <t>non_combat</t>
        </is>
      </c>
      <c r="E67" s="12" t="inlineStr">
        <is>
          <t>Likely</t>
        </is>
      </c>
      <c r="F67" s="12" t="inlineStr">
        <is>
          <t>fallout.wiki - Fallout 76 Perks (Perception section)</t>
        </is>
      </c>
      <c r="G67" s="12" t="n">
        <v>0</v>
      </c>
      <c r="H67" s="12" t="n">
        <v>1</v>
      </c>
      <c r="I67" s="12" t="n">
        <v>1</v>
      </c>
      <c r="J67" s="12" t="n">
        <v>1</v>
      </c>
      <c r="K67" s="12" t="n">
        <v>1</v>
      </c>
      <c r="L67" s="12" t="n">
        <v>0</v>
      </c>
      <c r="M67" s="12" t="n">
        <v>0</v>
      </c>
      <c r="N67" s="12" t="n">
        <v>0</v>
      </c>
      <c r="O67" s="12" t="n">
        <v>0</v>
      </c>
      <c r="P67" s="12" t="n">
        <v>0</v>
      </c>
    </row>
    <row r="68">
      <c r="A68" s="12" t="inlineStr">
        <is>
          <t>Refractor</t>
        </is>
      </c>
      <c r="B68" s="12" t="inlineStr">
        <is>
          <t>PER</t>
        </is>
      </c>
      <c r="C68" s="12" t="n">
        <v>4</v>
      </c>
      <c r="D68" s="12" t="inlineStr">
        <is>
          <t>catalogued_not_wired</t>
        </is>
      </c>
      <c r="E68" s="12" t="inlineStr">
        <is>
          <t>Likely</t>
        </is>
      </c>
      <c r="F68" s="12" t="inlineStr">
        <is>
          <t>fallout.wiki - Fallout 76 Perks (Perception section)</t>
        </is>
      </c>
      <c r="G68" s="12" t="n">
        <v>0</v>
      </c>
      <c r="H68" s="12" t="n">
        <v>1</v>
      </c>
      <c r="I68" s="12" t="n">
        <v>2</v>
      </c>
      <c r="J68" s="12" t="n">
        <v>3</v>
      </c>
      <c r="K68" s="12" t="n">
        <v>4</v>
      </c>
      <c r="L68" s="12" t="n">
        <v>0</v>
      </c>
      <c r="M68" s="12" t="n">
        <v>0</v>
      </c>
      <c r="N68" s="12" t="n">
        <v>0</v>
      </c>
      <c r="O68" s="12" t="n">
        <v>0</v>
      </c>
      <c r="P68" s="12" t="n">
        <v>0</v>
      </c>
    </row>
    <row r="69">
      <c r="A69" s="12" t="inlineStr">
        <is>
          <t>Scoped-up</t>
        </is>
      </c>
      <c r="B69" s="12" t="inlineStr">
        <is>
          <t>PER</t>
        </is>
      </c>
      <c r="C69" s="12" t="n">
        <v>1</v>
      </c>
      <c r="D69" s="12" t="inlineStr">
        <is>
          <t>catalogued_not_wired</t>
        </is>
      </c>
      <c r="E69" s="12" t="inlineStr">
        <is>
          <t>Likely</t>
        </is>
      </c>
      <c r="F69" s="12" t="inlineStr">
        <is>
          <t>fallout.wiki - Fallout 76 Perks (Perception section)</t>
        </is>
      </c>
      <c r="G69" s="12" t="n">
        <v>0</v>
      </c>
      <c r="H69" s="12" t="n">
        <v>2</v>
      </c>
      <c r="I69" s="12" t="n">
        <v>2</v>
      </c>
      <c r="J69" s="12" t="n">
        <v>2</v>
      </c>
      <c r="K69" s="12" t="n">
        <v>2</v>
      </c>
      <c r="L69" s="12" t="n">
        <v>0</v>
      </c>
      <c r="M69" s="12" t="n">
        <v>0</v>
      </c>
      <c r="N69" s="12" t="n">
        <v>0</v>
      </c>
      <c r="O69" s="12" t="n">
        <v>0</v>
      </c>
      <c r="P69" s="12" t="n">
        <v>0</v>
      </c>
    </row>
    <row r="70">
      <c r="A70" s="12" t="inlineStr">
        <is>
          <t>Skeet Shooter</t>
        </is>
      </c>
      <c r="B70" s="12" t="inlineStr">
        <is>
          <t>PER</t>
        </is>
      </c>
      <c r="C70" s="12" t="n">
        <v>1</v>
      </c>
      <c r="D70" s="12" t="inlineStr">
        <is>
          <t>catalogued_not_wired</t>
        </is>
      </c>
      <c r="E70" s="12" t="inlineStr">
        <is>
          <t>Likely</t>
        </is>
      </c>
      <c r="F70" s="12" t="inlineStr">
        <is>
          <t>fallout.wiki - Fallout 76 Perks (Perception section)</t>
        </is>
      </c>
      <c r="G70" s="12" t="n">
        <v>0</v>
      </c>
      <c r="H70" s="12" t="n">
        <v>1</v>
      </c>
      <c r="I70" s="12" t="n">
        <v>1</v>
      </c>
      <c r="J70" s="12" t="n">
        <v>1</v>
      </c>
      <c r="K70" s="12" t="n">
        <v>1</v>
      </c>
      <c r="L70" s="12" t="n">
        <v>0</v>
      </c>
      <c r="M70" s="12" t="n">
        <v>0</v>
      </c>
      <c r="N70" s="12" t="n">
        <v>0</v>
      </c>
      <c r="O70" s="12" t="n">
        <v>0</v>
      </c>
      <c r="P70" s="12" t="n">
        <v>0</v>
      </c>
    </row>
    <row r="71">
      <c r="A71" s="12" t="inlineStr">
        <is>
          <t>Smart Shot</t>
        </is>
      </c>
      <c r="B71" s="12" t="inlineStr">
        <is>
          <t>PER</t>
        </is>
      </c>
      <c r="C71" s="12" t="n">
        <v>1</v>
      </c>
      <c r="D71" s="12" t="inlineStr">
        <is>
          <t>catalogued_not_wired</t>
        </is>
      </c>
      <c r="E71" s="12" t="inlineStr">
        <is>
          <t>Likely</t>
        </is>
      </c>
      <c r="F71" s="12" t="inlineStr">
        <is>
          <t>fallout.wiki - Fallout 76 Perks (Perception section)</t>
        </is>
      </c>
      <c r="G71" s="12" t="n">
        <v>0</v>
      </c>
      <c r="H71" s="12" t="n">
        <v>3</v>
      </c>
      <c r="I71" s="12" t="n">
        <v>3</v>
      </c>
      <c r="J71" s="12" t="n">
        <v>3</v>
      </c>
      <c r="K71" s="12" t="n">
        <v>3</v>
      </c>
      <c r="L71" s="12" t="n">
        <v>0</v>
      </c>
      <c r="M71" s="12" t="n">
        <v>0</v>
      </c>
      <c r="N71" s="12" t="n">
        <v>0</v>
      </c>
      <c r="O71" s="12" t="n">
        <v>0</v>
      </c>
      <c r="P71" s="12" t="n">
        <v>0</v>
      </c>
    </row>
    <row r="72">
      <c r="A72" s="12" t="inlineStr">
        <is>
          <t>Sniper</t>
        </is>
      </c>
      <c r="B72" s="12" t="inlineStr">
        <is>
          <t>PER</t>
        </is>
      </c>
      <c r="C72" s="12" t="n">
        <v>1</v>
      </c>
      <c r="D72" s="12" t="inlineStr">
        <is>
          <t>catalogued_not_wired</t>
        </is>
      </c>
      <c r="E72" s="12" t="inlineStr">
        <is>
          <t>Likely</t>
        </is>
      </c>
      <c r="F72" s="12" t="inlineStr">
        <is>
          <t>fallout.wiki - Fallout 76 Perks (Perception section)</t>
        </is>
      </c>
      <c r="G72" s="12" t="n">
        <v>0</v>
      </c>
      <c r="H72" s="12" t="n">
        <v>1</v>
      </c>
      <c r="I72" s="12" t="n">
        <v>1</v>
      </c>
      <c r="J72" s="12" t="n">
        <v>1</v>
      </c>
      <c r="K72" s="12" t="n">
        <v>1</v>
      </c>
      <c r="L72" s="12" t="n">
        <v>0</v>
      </c>
      <c r="M72" s="12" t="n">
        <v>0</v>
      </c>
      <c r="N72" s="12" t="n">
        <v>0</v>
      </c>
      <c r="O72" s="12" t="n">
        <v>0</v>
      </c>
      <c r="P72" s="12" t="n">
        <v>0</v>
      </c>
    </row>
    <row r="73">
      <c r="A73" s="12" t="inlineStr">
        <is>
          <t>Tank Killer</t>
        </is>
      </c>
      <c r="B73" s="12" t="inlineStr">
        <is>
          <t>PER</t>
        </is>
      </c>
      <c r="C73" s="12" t="n">
        <v>2</v>
      </c>
      <c r="D73" s="12" t="inlineStr">
        <is>
          <t>target_dr_reduction</t>
        </is>
      </c>
      <c r="E73" s="12" t="inlineStr">
        <is>
          <t>Confirmed</t>
        </is>
      </c>
      <c r="F73" s="12" t="inlineStr">
        <is>
          <t>nukaknights.com Patch 62 changelog (reworked to include all ranged incl. heavies); fallout.wiki section fetch (cross-checked this session)</t>
        </is>
      </c>
      <c r="G73" s="12" t="n">
        <v>0</v>
      </c>
      <c r="H73" s="12" t="n">
        <v>1</v>
      </c>
      <c r="I73" s="12" t="n">
        <v>2</v>
      </c>
      <c r="J73" s="12" t="n">
        <v>2</v>
      </c>
      <c r="K73" s="12" t="n">
        <v>2</v>
      </c>
      <c r="L73" s="12" t="n">
        <v>0</v>
      </c>
      <c r="M73" s="12" t="n">
        <v>0.2</v>
      </c>
      <c r="N73" s="12" t="n">
        <v>0.4</v>
      </c>
      <c r="O73" s="12" t="n">
        <v>0</v>
      </c>
      <c r="P73" s="12" t="n">
        <v>0</v>
      </c>
    </row>
    <row r="74">
      <c r="A74" s="12" t="inlineStr">
        <is>
          <t>Tormentor</t>
        </is>
      </c>
      <c r="B74" s="12" t="inlineStr">
        <is>
          <t>PER</t>
        </is>
      </c>
      <c r="C74" s="12" t="n">
        <v>1</v>
      </c>
      <c r="D74" s="12" t="inlineStr">
        <is>
          <t>dmg_general_per_crippled_limb</t>
        </is>
      </c>
      <c r="E74" s="12" t="inlineStr">
        <is>
          <t>Confirmed</t>
        </is>
      </c>
      <c r="F74" s="12" t="inlineStr">
        <is>
          <t>fallout.wiki - Tormentor, individually verified (cross-checked this session)</t>
        </is>
      </c>
      <c r="G74" s="12" t="n">
        <v>0</v>
      </c>
      <c r="H74" s="12" t="n">
        <v>2</v>
      </c>
      <c r="I74" s="12" t="n">
        <v>2</v>
      </c>
      <c r="J74" s="12" t="n">
        <v>2</v>
      </c>
      <c r="K74" s="12" t="n">
        <v>2</v>
      </c>
      <c r="L74" s="12" t="n">
        <v>0</v>
      </c>
      <c r="M74" s="12" t="n">
        <v>0.2</v>
      </c>
      <c r="N74" s="12" t="n">
        <v>0</v>
      </c>
      <c r="O74" s="12" t="n">
        <v>0</v>
      </c>
      <c r="P74" s="12" t="n">
        <v>0</v>
      </c>
    </row>
    <row r="75">
      <c r="A75" s="12" t="inlineStr">
        <is>
          <t>Breathe It In</t>
        </is>
      </c>
      <c r="B75" s="12" t="inlineStr">
        <is>
          <t>PER</t>
        </is>
      </c>
      <c r="C75" s="12" t="n">
        <v>3</v>
      </c>
      <c r="D75" s="12" t="inlineStr">
        <is>
          <t>catalogued_not_wired</t>
        </is>
      </c>
      <c r="E75" s="12" t="inlineStr">
        <is>
          <t>Likely</t>
        </is>
      </c>
      <c r="F75" s="12" t="inlineStr">
        <is>
          <t>fallout.wiki - Fallout 76 Perks (Ghoul Perception section)</t>
        </is>
      </c>
      <c r="G75" s="12" t="n">
        <v>0</v>
      </c>
      <c r="H75" s="12" t="n">
        <v>1</v>
      </c>
      <c r="I75" s="12" t="n">
        <v>2</v>
      </c>
      <c r="J75" s="12" t="n">
        <v>3</v>
      </c>
      <c r="K75" s="12" t="n">
        <v>3</v>
      </c>
      <c r="L75" s="12" t="n">
        <v>0</v>
      </c>
      <c r="M75" s="12" t="n">
        <v>0</v>
      </c>
      <c r="N75" s="12" t="n">
        <v>0</v>
      </c>
      <c r="O75" s="12" t="n">
        <v>0</v>
      </c>
      <c r="P75" s="12" t="n">
        <v>0</v>
      </c>
    </row>
    <row r="76">
      <c r="A76" s="12" t="inlineStr">
        <is>
          <t>Eye of the Hunter</t>
        </is>
      </c>
      <c r="B76" s="12" t="inlineStr">
        <is>
          <t>PER</t>
        </is>
      </c>
      <c r="C76" s="12" t="n">
        <v>3</v>
      </c>
      <c r="D76" s="12" t="inlineStr">
        <is>
          <t>catalogued_not_wired</t>
        </is>
      </c>
      <c r="E76" s="12" t="inlineStr">
        <is>
          <t>Likely</t>
        </is>
      </c>
      <c r="F76" s="12" t="inlineStr">
        <is>
          <t>fallout.wiki - Fallout 76 Perks (Ghoul Perception section)</t>
        </is>
      </c>
      <c r="G76" s="12" t="n">
        <v>0</v>
      </c>
      <c r="H76" s="12" t="n">
        <v>1</v>
      </c>
      <c r="I76" s="12" t="n">
        <v>2</v>
      </c>
      <c r="J76" s="12" t="n">
        <v>3</v>
      </c>
      <c r="K76" s="12" t="n">
        <v>3</v>
      </c>
      <c r="L76" s="12" t="n">
        <v>0</v>
      </c>
      <c r="M76" s="12" t="n">
        <v>0</v>
      </c>
      <c r="N76" s="12" t="n">
        <v>0</v>
      </c>
      <c r="O76" s="12" t="n">
        <v>0</v>
      </c>
      <c r="P76" s="12" t="n">
        <v>0</v>
      </c>
    </row>
    <row r="77">
      <c r="A77" s="12" t="inlineStr">
        <is>
          <t>Glowing Hunter</t>
        </is>
      </c>
      <c r="B77" s="12" t="inlineStr">
        <is>
          <t>PER</t>
        </is>
      </c>
      <c r="C77" s="12" t="n">
        <v>1</v>
      </c>
      <c r="D77" s="12" t="inlineStr">
        <is>
          <t>non_combat</t>
        </is>
      </c>
      <c r="E77" s="12" t="inlineStr">
        <is>
          <t>Likely</t>
        </is>
      </c>
      <c r="F77" s="12" t="inlineStr">
        <is>
          <t>fallout.wiki - Fallout 76 Perks (Ghoul Perception section)</t>
        </is>
      </c>
      <c r="G77" s="12" t="n">
        <v>0</v>
      </c>
      <c r="H77" s="12" t="n">
        <v>1</v>
      </c>
      <c r="I77" s="12" t="n">
        <v>1</v>
      </c>
      <c r="J77" s="12" t="n">
        <v>1</v>
      </c>
      <c r="K77" s="12" t="n">
        <v>1</v>
      </c>
      <c r="L77" s="12" t="n">
        <v>0</v>
      </c>
      <c r="M77" s="12" t="n">
        <v>0</v>
      </c>
      <c r="N77" s="12" t="n">
        <v>0</v>
      </c>
      <c r="O77" s="12" t="n">
        <v>0</v>
      </c>
      <c r="P77" s="12" t="n">
        <v>0</v>
      </c>
    </row>
    <row r="78">
      <c r="A78" s="12" t="inlineStr">
        <is>
          <t>Rad-Reaver</t>
        </is>
      </c>
      <c r="B78" s="12" t="inlineStr">
        <is>
          <t>PER</t>
        </is>
      </c>
      <c r="C78" s="12" t="n">
        <v>1</v>
      </c>
      <c r="D78" s="12" t="inlineStr">
        <is>
          <t>non_combat</t>
        </is>
      </c>
      <c r="E78" s="12" t="inlineStr">
        <is>
          <t>Likely</t>
        </is>
      </c>
      <c r="F78" s="12" t="inlineStr">
        <is>
          <t>fallout.wiki - Fallout 76 Perks (Ghoul Perception section)</t>
        </is>
      </c>
      <c r="G78" s="12" t="n">
        <v>0</v>
      </c>
      <c r="H78" s="12" t="n">
        <v>1</v>
      </c>
      <c r="I78" s="12" t="n">
        <v>1</v>
      </c>
      <c r="J78" s="12" t="n">
        <v>1</v>
      </c>
      <c r="K78" s="12" t="n">
        <v>1</v>
      </c>
      <c r="L78" s="12" t="n">
        <v>0</v>
      </c>
      <c r="M78" s="12" t="n">
        <v>0</v>
      </c>
      <c r="N78" s="12" t="n">
        <v>0</v>
      </c>
      <c r="O78" s="12" t="n">
        <v>0</v>
      </c>
      <c r="P78" s="12" t="n">
        <v>0</v>
      </c>
    </row>
    <row r="79">
      <c r="A79" s="12" t="inlineStr">
        <is>
          <t>Adamantium Skeleton</t>
        </is>
      </c>
      <c r="B79" s="12" t="inlineStr">
        <is>
          <t>END</t>
        </is>
      </c>
      <c r="C79" s="12" t="n">
        <v>1</v>
      </c>
      <c r="D79" s="12" t="inlineStr">
        <is>
          <t>own_limb_dr_scales_with_end</t>
        </is>
      </c>
      <c r="E79" s="12" t="inlineStr">
        <is>
          <t>Confirmed</t>
        </is>
      </c>
      <c r="F79" s="12" t="inlineStr">
        <is>
          <t>fallout.wiki - Fallout 76 Perks (Endurance section) (cross-checked this session)</t>
        </is>
      </c>
      <c r="G79" s="12" t="n">
        <v>0</v>
      </c>
      <c r="H79" s="12" t="n">
        <v>1</v>
      </c>
      <c r="I79" s="12" t="n">
        <v>1</v>
      </c>
      <c r="J79" s="12" t="n">
        <v>1</v>
      </c>
      <c r="K79" s="12" t="n">
        <v>1</v>
      </c>
      <c r="L79" s="12" t="n">
        <v>0</v>
      </c>
      <c r="M79" s="12" t="n">
        <v>1</v>
      </c>
      <c r="N79" s="12" t="n">
        <v>0</v>
      </c>
      <c r="O79" s="12" t="n">
        <v>0</v>
      </c>
      <c r="P79" s="12" t="n">
        <v>0</v>
      </c>
    </row>
    <row r="80">
      <c r="A80" s="12" t="inlineStr">
        <is>
          <t>All Night Long</t>
        </is>
      </c>
      <c r="B80" s="12" t="inlineStr">
        <is>
          <t>END</t>
        </is>
      </c>
      <c r="C80" s="12" t="n">
        <v>1</v>
      </c>
      <c r="D80" s="12" t="inlineStr">
        <is>
          <t>non_combat</t>
        </is>
      </c>
      <c r="E80" s="12" t="inlineStr">
        <is>
          <t>Likely</t>
        </is>
      </c>
      <c r="F80" s="12" t="inlineStr">
        <is>
          <t>fallout.wiki - Fallout 76 Perks (Endurance section)</t>
        </is>
      </c>
      <c r="G80" s="12" t="n">
        <v>0</v>
      </c>
      <c r="H80" s="12" t="n">
        <v>1</v>
      </c>
      <c r="I80" s="12" t="n">
        <v>1</v>
      </c>
      <c r="J80" s="12" t="n">
        <v>1</v>
      </c>
      <c r="K80" s="12" t="n">
        <v>1</v>
      </c>
      <c r="L80" s="12" t="n">
        <v>0</v>
      </c>
      <c r="M80" s="12" t="n">
        <v>0</v>
      </c>
      <c r="N80" s="12" t="n">
        <v>0</v>
      </c>
      <c r="O80" s="12" t="n">
        <v>0</v>
      </c>
      <c r="P80" s="12" t="n">
        <v>0</v>
      </c>
    </row>
    <row r="81">
      <c r="A81" s="12" t="inlineStr">
        <is>
          <t>Aquaboy</t>
        </is>
      </c>
      <c r="B81" s="12" t="inlineStr">
        <is>
          <t>END</t>
        </is>
      </c>
      <c r="C81" s="12" t="n">
        <v>1</v>
      </c>
      <c r="D81" s="12" t="inlineStr">
        <is>
          <t>non_combat</t>
        </is>
      </c>
      <c r="E81" s="12" t="inlineStr">
        <is>
          <t>Likely</t>
        </is>
      </c>
      <c r="F81" s="12" t="inlineStr">
        <is>
          <t>fallout.wiki - Fallout 76 Perks (Endurance section)</t>
        </is>
      </c>
      <c r="G81" s="12" t="n">
        <v>0</v>
      </c>
      <c r="H81" s="12" t="n">
        <v>1</v>
      </c>
      <c r="I81" s="12" t="n">
        <v>1</v>
      </c>
      <c r="J81" s="12" t="n">
        <v>1</v>
      </c>
      <c r="K81" s="12" t="n">
        <v>1</v>
      </c>
      <c r="L81" s="12" t="n">
        <v>0</v>
      </c>
      <c r="M81" s="12" t="n">
        <v>0</v>
      </c>
      <c r="N81" s="12" t="n">
        <v>0</v>
      </c>
      <c r="O81" s="12" t="n">
        <v>0</v>
      </c>
      <c r="P81" s="12" t="n">
        <v>0</v>
      </c>
    </row>
    <row r="82">
      <c r="A82" s="12" t="inlineStr">
        <is>
          <t>Aquagirl</t>
        </is>
      </c>
      <c r="B82" s="12" t="inlineStr">
        <is>
          <t>END</t>
        </is>
      </c>
      <c r="C82" s="12" t="n">
        <v>1</v>
      </c>
      <c r="D82" s="12" t="inlineStr">
        <is>
          <t>non_combat</t>
        </is>
      </c>
      <c r="E82" s="12" t="inlineStr">
        <is>
          <t>Likely</t>
        </is>
      </c>
      <c r="F82" s="12" t="inlineStr">
        <is>
          <t>fallout.wiki - Fallout 76 Perks (Endurance section)</t>
        </is>
      </c>
      <c r="G82" s="12" t="n">
        <v>0</v>
      </c>
      <c r="H82" s="12" t="n">
        <v>1</v>
      </c>
      <c r="I82" s="12" t="n">
        <v>1</v>
      </c>
      <c r="J82" s="12" t="n">
        <v>1</v>
      </c>
      <c r="K82" s="12" t="n">
        <v>1</v>
      </c>
      <c r="L82" s="12" t="n">
        <v>0</v>
      </c>
      <c r="M82" s="12" t="n">
        <v>0</v>
      </c>
      <c r="N82" s="12" t="n">
        <v>0</v>
      </c>
      <c r="O82" s="12" t="n">
        <v>0</v>
      </c>
      <c r="P82" s="12" t="n">
        <v>0</v>
      </c>
    </row>
    <row r="83">
      <c r="A83" s="12" t="inlineStr">
        <is>
          <t>Bloodsucker</t>
        </is>
      </c>
      <c r="B83" s="12" t="inlineStr">
        <is>
          <t>END</t>
        </is>
      </c>
      <c r="C83" s="12" t="n">
        <v>1</v>
      </c>
      <c r="D83" s="12" t="inlineStr">
        <is>
          <t>non_combat</t>
        </is>
      </c>
      <c r="E83" s="12" t="inlineStr">
        <is>
          <t>Likely</t>
        </is>
      </c>
      <c r="F83" s="12" t="inlineStr">
        <is>
          <t>fallout.wiki - Fallout 76 Perks (Endurance section)</t>
        </is>
      </c>
      <c r="G83" s="12" t="n">
        <v>0</v>
      </c>
      <c r="H83" s="12" t="n">
        <v>1</v>
      </c>
      <c r="I83" s="12" t="n">
        <v>1</v>
      </c>
      <c r="J83" s="12" t="n">
        <v>1</v>
      </c>
      <c r="K83" s="12" t="n">
        <v>1</v>
      </c>
      <c r="L83" s="12" t="n">
        <v>0</v>
      </c>
      <c r="M83" s="12" t="n">
        <v>0</v>
      </c>
      <c r="N83" s="12" t="n">
        <v>0</v>
      </c>
      <c r="O83" s="12" t="n">
        <v>0</v>
      </c>
      <c r="P83" s="12" t="n">
        <v>0</v>
      </c>
    </row>
    <row r="84">
      <c r="A84" s="12" t="inlineStr">
        <is>
          <t>Bullet Shield</t>
        </is>
      </c>
      <c r="B84" s="12" t="inlineStr">
        <is>
          <t>END</t>
        </is>
      </c>
      <c r="C84" s="12" t="n">
        <v>4</v>
      </c>
      <c r="D84" s="12" t="inlineStr">
        <is>
          <t>catalogued_not_wired</t>
        </is>
      </c>
      <c r="E84" s="12" t="inlineStr">
        <is>
          <t>Likely</t>
        </is>
      </c>
      <c r="F84" s="12" t="inlineStr">
        <is>
          <t>fallout.wiki - Fallout 76 Perks (Endurance section)</t>
        </is>
      </c>
      <c r="G84" s="12" t="n">
        <v>0</v>
      </c>
      <c r="H84" s="12" t="n">
        <v>1</v>
      </c>
      <c r="I84" s="12" t="n">
        <v>2</v>
      </c>
      <c r="J84" s="12" t="n">
        <v>3</v>
      </c>
      <c r="K84" s="12" t="n">
        <v>4</v>
      </c>
      <c r="L84" s="12" t="n">
        <v>0</v>
      </c>
      <c r="M84" s="12" t="n">
        <v>0</v>
      </c>
      <c r="N84" s="12" t="n">
        <v>0</v>
      </c>
      <c r="O84" s="12" t="n">
        <v>0</v>
      </c>
      <c r="P84" s="12" t="n">
        <v>0</v>
      </c>
    </row>
    <row r="85">
      <c r="A85" s="12" t="inlineStr">
        <is>
          <t>Cannibal</t>
        </is>
      </c>
      <c r="B85" s="12" t="inlineStr">
        <is>
          <t>END</t>
        </is>
      </c>
      <c r="C85" s="12" t="n">
        <v>1</v>
      </c>
      <c r="D85" s="12" t="inlineStr">
        <is>
          <t>non_combat</t>
        </is>
      </c>
      <c r="E85" s="12" t="inlineStr">
        <is>
          <t>Likely</t>
        </is>
      </c>
      <c r="F85" s="12" t="inlineStr">
        <is>
          <t>fallout.wiki - Fallout 76 Perks (Endurance section)</t>
        </is>
      </c>
      <c r="G85" s="12" t="n">
        <v>0</v>
      </c>
      <c r="H85" s="12" t="n">
        <v>1</v>
      </c>
      <c r="I85" s="12" t="n">
        <v>1</v>
      </c>
      <c r="J85" s="12" t="n">
        <v>1</v>
      </c>
      <c r="K85" s="12" t="n">
        <v>1</v>
      </c>
      <c r="L85" s="12" t="n">
        <v>0</v>
      </c>
      <c r="M85" s="12" t="n">
        <v>0</v>
      </c>
      <c r="N85" s="12" t="n">
        <v>0</v>
      </c>
      <c r="O85" s="12" t="n">
        <v>0</v>
      </c>
      <c r="P85" s="12" t="n">
        <v>0</v>
      </c>
    </row>
    <row r="86">
      <c r="A86" s="12" t="inlineStr">
        <is>
          <t>Chem Fiend</t>
        </is>
      </c>
      <c r="B86" s="12" t="inlineStr">
        <is>
          <t>END</t>
        </is>
      </c>
      <c r="C86" s="12" t="n">
        <v>1</v>
      </c>
      <c r="D86" s="12" t="inlineStr">
        <is>
          <t>non_combat</t>
        </is>
      </c>
      <c r="E86" s="12" t="inlineStr">
        <is>
          <t>Likely</t>
        </is>
      </c>
      <c r="F86" s="12" t="inlineStr">
        <is>
          <t>fallout.wiki - Fallout 76 Perks (Endurance section)</t>
        </is>
      </c>
      <c r="G86" s="12" t="n">
        <v>0</v>
      </c>
      <c r="H86" s="12" t="n">
        <v>2</v>
      </c>
      <c r="I86" s="12" t="n">
        <v>2</v>
      </c>
      <c r="J86" s="12" t="n">
        <v>2</v>
      </c>
      <c r="K86" s="12" t="n">
        <v>2</v>
      </c>
      <c r="L86" s="12" t="n">
        <v>0</v>
      </c>
      <c r="M86" s="12" t="n">
        <v>0</v>
      </c>
      <c r="N86" s="12" t="n">
        <v>0</v>
      </c>
      <c r="O86" s="12" t="n">
        <v>0</v>
      </c>
      <c r="P86" s="12" t="n">
        <v>0</v>
      </c>
    </row>
    <row r="87">
      <c r="A87" s="12" t="inlineStr">
        <is>
          <t>Chem Resistant</t>
        </is>
      </c>
      <c r="B87" s="12" t="inlineStr">
        <is>
          <t>END</t>
        </is>
      </c>
      <c r="C87" s="12" t="n">
        <v>2</v>
      </c>
      <c r="D87" s="12" t="inlineStr">
        <is>
          <t>non_combat</t>
        </is>
      </c>
      <c r="E87" s="12" t="inlineStr">
        <is>
          <t>Likely</t>
        </is>
      </c>
      <c r="F87" s="12" t="inlineStr">
        <is>
          <t>fallout.wiki - Fallout 76 Perks (Endurance section)</t>
        </is>
      </c>
      <c r="G87" s="12" t="n">
        <v>0</v>
      </c>
      <c r="H87" s="12" t="n">
        <v>1</v>
      </c>
      <c r="I87" s="12" t="n">
        <v>2</v>
      </c>
      <c r="J87" s="12" t="n">
        <v>2</v>
      </c>
      <c r="K87" s="12" t="n">
        <v>2</v>
      </c>
      <c r="L87" s="12" t="n">
        <v>0</v>
      </c>
      <c r="M87" s="12" t="n">
        <v>0</v>
      </c>
      <c r="N87" s="12" t="n">
        <v>0</v>
      </c>
      <c r="O87" s="12" t="n">
        <v>0</v>
      </c>
      <c r="P87" s="12" t="n">
        <v>0</v>
      </c>
    </row>
    <row r="88">
      <c r="A88" s="12" t="inlineStr">
        <is>
          <t>Cola Nut</t>
        </is>
      </c>
      <c r="B88" s="12" t="inlineStr">
        <is>
          <t>END</t>
        </is>
      </c>
      <c r="C88" s="12" t="n">
        <v>2</v>
      </c>
      <c r="D88" s="12" t="inlineStr">
        <is>
          <t>non_combat</t>
        </is>
      </c>
      <c r="E88" s="12" t="inlineStr">
        <is>
          <t>Likely</t>
        </is>
      </c>
      <c r="F88" s="12" t="inlineStr">
        <is>
          <t>fallout.wiki - Fallout 76 Perks (Endurance section)</t>
        </is>
      </c>
      <c r="G88" s="12" t="n">
        <v>0</v>
      </c>
      <c r="H88" s="12" t="n">
        <v>1</v>
      </c>
      <c r="I88" s="12" t="n">
        <v>2</v>
      </c>
      <c r="J88" s="12" t="n">
        <v>2</v>
      </c>
      <c r="K88" s="12" t="n">
        <v>2</v>
      </c>
      <c r="L88" s="12" t="n">
        <v>0</v>
      </c>
      <c r="M88" s="12" t="n">
        <v>0</v>
      </c>
      <c r="N88" s="12" t="n">
        <v>0</v>
      </c>
      <c r="O88" s="12" t="n">
        <v>0</v>
      </c>
      <c r="P88" s="12" t="n">
        <v>0</v>
      </c>
    </row>
    <row r="89">
      <c r="A89" s="12" t="inlineStr">
        <is>
          <t>Dromedary</t>
        </is>
      </c>
      <c r="B89" s="12" t="inlineStr">
        <is>
          <t>END</t>
        </is>
      </c>
      <c r="C89" s="12" t="n">
        <v>2</v>
      </c>
      <c r="D89" s="12" t="inlineStr">
        <is>
          <t>non_combat</t>
        </is>
      </c>
      <c r="E89" s="12" t="inlineStr">
        <is>
          <t>Likely</t>
        </is>
      </c>
      <c r="F89" s="12" t="inlineStr">
        <is>
          <t>fallout.wiki - Fallout 76 Perks (Endurance section)</t>
        </is>
      </c>
      <c r="G89" s="12" t="n">
        <v>0</v>
      </c>
      <c r="H89" s="12" t="n">
        <v>1</v>
      </c>
      <c r="I89" s="12" t="n">
        <v>2</v>
      </c>
      <c r="J89" s="12" t="n">
        <v>2</v>
      </c>
      <c r="K89" s="12" t="n">
        <v>2</v>
      </c>
      <c r="L89" s="12" t="n">
        <v>0</v>
      </c>
      <c r="M89" s="12" t="n">
        <v>0</v>
      </c>
      <c r="N89" s="12" t="n">
        <v>0</v>
      </c>
      <c r="O89" s="12" t="n">
        <v>0</v>
      </c>
      <c r="P89" s="12" t="n">
        <v>0</v>
      </c>
    </row>
    <row r="90">
      <c r="A90" s="12" t="inlineStr">
        <is>
          <t>Ghoulish</t>
        </is>
      </c>
      <c r="B90" s="12" t="inlineStr">
        <is>
          <t>END</t>
        </is>
      </c>
      <c r="C90" s="12" t="n">
        <v>3</v>
      </c>
      <c r="D90" s="12" t="inlineStr">
        <is>
          <t>non_combat</t>
        </is>
      </c>
      <c r="E90" s="12" t="inlineStr">
        <is>
          <t>Likely</t>
        </is>
      </c>
      <c r="F90" s="12" t="inlineStr">
        <is>
          <t>fallout.wiki - Fallout 76 Perks (Endurance section)</t>
        </is>
      </c>
      <c r="G90" s="12" t="n">
        <v>0</v>
      </c>
      <c r="H90" s="12" t="n">
        <v>1</v>
      </c>
      <c r="I90" s="12" t="n">
        <v>2</v>
      </c>
      <c r="J90" s="12" t="n">
        <v>3</v>
      </c>
      <c r="K90" s="12" t="n">
        <v>3</v>
      </c>
      <c r="L90" s="12" t="n">
        <v>0</v>
      </c>
      <c r="M90" s="12" t="n">
        <v>0</v>
      </c>
      <c r="N90" s="12" t="n">
        <v>0</v>
      </c>
      <c r="O90" s="12" t="n">
        <v>0</v>
      </c>
      <c r="P90" s="12" t="n">
        <v>0</v>
      </c>
    </row>
    <row r="91">
      <c r="A91" s="12" t="inlineStr">
        <is>
          <t>Good Doggy</t>
        </is>
      </c>
      <c r="B91" s="12" t="inlineStr">
        <is>
          <t>END</t>
        </is>
      </c>
      <c r="C91" s="12" t="n">
        <v>1</v>
      </c>
      <c r="D91" s="12" t="inlineStr">
        <is>
          <t>non_combat</t>
        </is>
      </c>
      <c r="E91" s="12" t="inlineStr">
        <is>
          <t>Likely</t>
        </is>
      </c>
      <c r="F91" s="12" t="inlineStr">
        <is>
          <t>fallout.wiki - Fallout 76 Perks (Endurance section)</t>
        </is>
      </c>
      <c r="G91" s="12" t="n">
        <v>0</v>
      </c>
      <c r="H91" s="12" t="n">
        <v>1</v>
      </c>
      <c r="I91" s="12" t="n">
        <v>1</v>
      </c>
      <c r="J91" s="12" t="n">
        <v>1</v>
      </c>
      <c r="K91" s="12" t="n">
        <v>1</v>
      </c>
      <c r="L91" s="12" t="n">
        <v>0</v>
      </c>
      <c r="M91" s="12" t="n">
        <v>0</v>
      </c>
      <c r="N91" s="12" t="n">
        <v>0</v>
      </c>
      <c r="O91" s="12" t="n">
        <v>0</v>
      </c>
      <c r="P91" s="12" t="n">
        <v>0</v>
      </c>
    </row>
    <row r="92">
      <c r="A92" s="12" t="inlineStr">
        <is>
          <t>Hardy</t>
        </is>
      </c>
      <c r="B92" s="12" t="inlineStr">
        <is>
          <t>END</t>
        </is>
      </c>
      <c r="C92" s="12" t="n">
        <v>3</v>
      </c>
      <c r="D92" s="12" t="inlineStr">
        <is>
          <t>explosion_dr_pct</t>
        </is>
      </c>
      <c r="E92" s="12" t="inlineStr">
        <is>
          <t>Confirmed</t>
        </is>
      </c>
      <c r="F92" s="12" t="inlineStr">
        <is>
          <t>fallout.wiki - Fallout 76 Perks (Endurance section) (cross-checked this session)</t>
        </is>
      </c>
      <c r="G92" s="12" t="n">
        <v>0</v>
      </c>
      <c r="H92" s="12" t="n">
        <v>1</v>
      </c>
      <c r="I92" s="12" t="n">
        <v>2</v>
      </c>
      <c r="J92" s="12" t="n">
        <v>3</v>
      </c>
      <c r="K92" s="12" t="n">
        <v>3</v>
      </c>
      <c r="L92" s="12" t="n">
        <v>0</v>
      </c>
      <c r="M92" s="12" t="n">
        <v>0.15</v>
      </c>
      <c r="N92" s="12" t="n">
        <v>0.3</v>
      </c>
      <c r="O92" s="12" t="n">
        <v>0.45</v>
      </c>
      <c r="P92" s="12" t="n">
        <v>0</v>
      </c>
    </row>
    <row r="93">
      <c r="A93" s="12" t="inlineStr">
        <is>
          <t>Homebody</t>
        </is>
      </c>
      <c r="B93" s="12" t="inlineStr">
        <is>
          <t>END</t>
        </is>
      </c>
      <c r="C93" s="12" t="n">
        <v>1</v>
      </c>
      <c r="D93" s="12" t="inlineStr">
        <is>
          <t>non_combat</t>
        </is>
      </c>
      <c r="E93" s="12" t="inlineStr">
        <is>
          <t>Confirmed</t>
        </is>
      </c>
      <c r="F93" s="12" t="inlineStr">
        <is>
          <t>nukaknights.com Patch 62 changelog (reworked); fallout.wiki section fetch</t>
        </is>
      </c>
      <c r="G93" s="12" t="n">
        <v>0</v>
      </c>
      <c r="H93" s="12" t="n">
        <v>1</v>
      </c>
      <c r="I93" s="12" t="n">
        <v>1</v>
      </c>
      <c r="J93" s="12" t="n">
        <v>1</v>
      </c>
      <c r="K93" s="12" t="n">
        <v>1</v>
      </c>
      <c r="L93" s="12" t="n">
        <v>0</v>
      </c>
      <c r="M93" s="12" t="n">
        <v>0</v>
      </c>
      <c r="N93" s="12" t="n">
        <v>0</v>
      </c>
      <c r="O93" s="12" t="n">
        <v>0</v>
      </c>
      <c r="P93" s="12" t="n">
        <v>0</v>
      </c>
    </row>
    <row r="94">
      <c r="A94" s="12" t="inlineStr">
        <is>
          <t>Hydro Fix</t>
        </is>
      </c>
      <c r="B94" s="12" t="inlineStr">
        <is>
          <t>END</t>
        </is>
      </c>
      <c r="C94" s="12" t="n">
        <v>2</v>
      </c>
      <c r="D94" s="12" t="inlineStr">
        <is>
          <t>non_combat</t>
        </is>
      </c>
      <c r="E94" s="12" t="inlineStr">
        <is>
          <t>Likely</t>
        </is>
      </c>
      <c r="F94" s="12" t="inlineStr">
        <is>
          <t>fallout.wiki - Fallout 76 Perks (Endurance section)</t>
        </is>
      </c>
      <c r="G94" s="12" t="n">
        <v>0</v>
      </c>
      <c r="H94" s="12" t="n">
        <v>1</v>
      </c>
      <c r="I94" s="12" t="n">
        <v>2</v>
      </c>
      <c r="J94" s="12" t="n">
        <v>2</v>
      </c>
      <c r="K94" s="12" t="n">
        <v>2</v>
      </c>
      <c r="L94" s="12" t="n">
        <v>0</v>
      </c>
      <c r="M94" s="12" t="n">
        <v>0</v>
      </c>
      <c r="N94" s="12" t="n">
        <v>0</v>
      </c>
      <c r="O94" s="12" t="n">
        <v>0</v>
      </c>
      <c r="P94" s="12" t="n">
        <v>0</v>
      </c>
    </row>
    <row r="95">
      <c r="A95" s="12" t="inlineStr">
        <is>
          <t>Iron Stomach</t>
        </is>
      </c>
      <c r="B95" s="12" t="inlineStr">
        <is>
          <t>END</t>
        </is>
      </c>
      <c r="C95" s="12" t="n">
        <v>1</v>
      </c>
      <c r="D95" s="12" t="inlineStr">
        <is>
          <t>catalogued_not_wired</t>
        </is>
      </c>
      <c r="E95" s="12" t="inlineStr">
        <is>
          <t>Likely</t>
        </is>
      </c>
      <c r="F95" s="12" t="inlineStr">
        <is>
          <t>fallout.wiki - Fallout 76 Perks (Endurance section)</t>
        </is>
      </c>
      <c r="G95" s="12" t="n">
        <v>0</v>
      </c>
      <c r="H95" s="12" t="n">
        <v>1</v>
      </c>
      <c r="I95" s="12" t="n">
        <v>1</v>
      </c>
      <c r="J95" s="12" t="n">
        <v>1</v>
      </c>
      <c r="K95" s="12" t="n">
        <v>1</v>
      </c>
      <c r="L95" s="12" t="n">
        <v>0</v>
      </c>
      <c r="M95" s="12" t="n">
        <v>0</v>
      </c>
      <c r="N95" s="12" t="n">
        <v>0</v>
      </c>
      <c r="O95" s="12" t="n">
        <v>0</v>
      </c>
      <c r="P95" s="12" t="n">
        <v>0</v>
      </c>
    </row>
    <row r="96">
      <c r="A96" s="12" t="inlineStr">
        <is>
          <t>Ironclad</t>
        </is>
      </c>
      <c r="B96" s="12" t="inlineStr">
        <is>
          <t>END</t>
        </is>
      </c>
      <c r="C96" s="12" t="n">
        <v>3</v>
      </c>
      <c r="D96" s="12" t="inlineStr">
        <is>
          <t>own_resistance_pct</t>
        </is>
      </c>
      <c r="E96" s="12" t="inlineStr">
        <is>
          <t>Confirmed</t>
        </is>
      </c>
      <c r="F96" s="12" t="inlineStr">
        <is>
          <t>fallout.wiki - Fallout 76 Perks (Endurance section) (cross-checked this session)</t>
        </is>
      </c>
      <c r="G96" s="12" t="n">
        <v>0</v>
      </c>
      <c r="H96" s="12" t="n">
        <v>1</v>
      </c>
      <c r="I96" s="12" t="n">
        <v>2</v>
      </c>
      <c r="J96" s="12" t="n">
        <v>3</v>
      </c>
      <c r="K96" s="12" t="n">
        <v>3</v>
      </c>
      <c r="L96" s="12" t="n">
        <v>0</v>
      </c>
      <c r="M96" s="12" t="n">
        <v>0.15</v>
      </c>
      <c r="N96" s="12" t="n">
        <v>0.2</v>
      </c>
      <c r="O96" s="12" t="n">
        <v>0.25</v>
      </c>
      <c r="P96" s="12" t="n">
        <v>0</v>
      </c>
    </row>
    <row r="97">
      <c r="A97" s="12" t="inlineStr">
        <is>
          <t>Lead Belly</t>
        </is>
      </c>
      <c r="B97" s="12" t="inlineStr">
        <is>
          <t>END</t>
        </is>
      </c>
      <c r="C97" s="12" t="n">
        <v>1</v>
      </c>
      <c r="D97" s="12" t="inlineStr">
        <is>
          <t>non_combat</t>
        </is>
      </c>
      <c r="E97" s="12" t="inlineStr">
        <is>
          <t>Likely</t>
        </is>
      </c>
      <c r="F97" s="12" t="inlineStr">
        <is>
          <t>fallout.wiki - Fallout 76 Perks (Endurance section)</t>
        </is>
      </c>
      <c r="G97" s="12" t="n">
        <v>0</v>
      </c>
      <c r="H97" s="12" t="n">
        <v>1</v>
      </c>
      <c r="I97" s="12" t="n">
        <v>1</v>
      </c>
      <c r="J97" s="12" t="n">
        <v>1</v>
      </c>
      <c r="K97" s="12" t="n">
        <v>1</v>
      </c>
      <c r="L97" s="12" t="n">
        <v>0</v>
      </c>
      <c r="M97" s="12" t="n">
        <v>0</v>
      </c>
      <c r="N97" s="12" t="n">
        <v>0</v>
      </c>
      <c r="O97" s="12" t="n">
        <v>0</v>
      </c>
      <c r="P97" s="12" t="n">
        <v>0</v>
      </c>
    </row>
    <row r="98">
      <c r="A98" s="12" t="inlineStr">
        <is>
          <t>Life Giver</t>
        </is>
      </c>
      <c r="B98" s="12" t="inlineStr">
        <is>
          <t>END</t>
        </is>
      </c>
      <c r="C98" s="12" t="n">
        <v>1</v>
      </c>
      <c r="D98" s="12" t="inlineStr">
        <is>
          <t>non_combat</t>
        </is>
      </c>
      <c r="E98" s="12" t="inlineStr">
        <is>
          <t>Likely</t>
        </is>
      </c>
      <c r="F98" s="12" t="inlineStr">
        <is>
          <t>fallout.wiki - Fallout 76 Perks (Endurance section)</t>
        </is>
      </c>
      <c r="G98" s="12" t="n">
        <v>0</v>
      </c>
      <c r="H98" s="12" t="n">
        <v>2</v>
      </c>
      <c r="I98" s="12" t="n">
        <v>2</v>
      </c>
      <c r="J98" s="12" t="n">
        <v>2</v>
      </c>
      <c r="K98" s="12" t="n">
        <v>2</v>
      </c>
      <c r="L98" s="12" t="n">
        <v>0</v>
      </c>
      <c r="M98" s="12" t="n">
        <v>0</v>
      </c>
      <c r="N98" s="12" t="n">
        <v>0</v>
      </c>
      <c r="O98" s="12" t="n">
        <v>0</v>
      </c>
      <c r="P98" s="12" t="n">
        <v>0</v>
      </c>
    </row>
    <row r="99">
      <c r="A99" s="12" t="inlineStr">
        <is>
          <t>Munchy Resistance</t>
        </is>
      </c>
      <c r="B99" s="12" t="inlineStr">
        <is>
          <t>END</t>
        </is>
      </c>
      <c r="C99" s="12" t="n">
        <v>2</v>
      </c>
      <c r="D99" s="12" t="inlineStr">
        <is>
          <t>non_combat</t>
        </is>
      </c>
      <c r="E99" s="12" t="inlineStr">
        <is>
          <t>Likely</t>
        </is>
      </c>
      <c r="F99" s="12" t="inlineStr">
        <is>
          <t>fallout.wiki - Fallout 76 Perks (Endurance section)</t>
        </is>
      </c>
      <c r="G99" s="12" t="n">
        <v>0</v>
      </c>
      <c r="H99" s="12" t="n">
        <v>1</v>
      </c>
      <c r="I99" s="12" t="n">
        <v>2</v>
      </c>
      <c r="J99" s="12" t="n">
        <v>2</v>
      </c>
      <c r="K99" s="12" t="n">
        <v>2</v>
      </c>
      <c r="L99" s="12" t="n">
        <v>0</v>
      </c>
      <c r="M99" s="12" t="n">
        <v>0</v>
      </c>
      <c r="N99" s="12" t="n">
        <v>0</v>
      </c>
      <c r="O99" s="12" t="n">
        <v>0</v>
      </c>
      <c r="P99" s="12" t="n">
        <v>0</v>
      </c>
    </row>
    <row r="100">
      <c r="A100" s="12" t="inlineStr">
        <is>
          <t>Natural Resistance</t>
        </is>
      </c>
      <c r="B100" s="12" t="inlineStr">
        <is>
          <t>END</t>
        </is>
      </c>
      <c r="C100" s="12" t="n">
        <v>1</v>
      </c>
      <c r="D100" s="12" t="inlineStr">
        <is>
          <t>catalogued_not_wired</t>
        </is>
      </c>
      <c r="E100" s="12" t="inlineStr">
        <is>
          <t>Likely</t>
        </is>
      </c>
      <c r="F100" s="12" t="inlineStr">
        <is>
          <t>fallout.wiki - Fallout 76 Perks (Endurance section)</t>
        </is>
      </c>
      <c r="G100" s="12" t="n">
        <v>0</v>
      </c>
      <c r="H100" s="12" t="n">
        <v>1</v>
      </c>
      <c r="I100" s="12" t="n">
        <v>1</v>
      </c>
      <c r="J100" s="12" t="n">
        <v>1</v>
      </c>
      <c r="K100" s="12" t="n">
        <v>1</v>
      </c>
      <c r="L100" s="12" t="n">
        <v>0</v>
      </c>
      <c r="M100" s="12" t="n">
        <v>0</v>
      </c>
      <c r="N100" s="12" t="n">
        <v>0</v>
      </c>
      <c r="O100" s="12" t="n">
        <v>0</v>
      </c>
      <c r="P100" s="12" t="n">
        <v>0</v>
      </c>
    </row>
    <row r="101">
      <c r="A101" s="12" t="inlineStr">
        <is>
          <t>Nocturnal Fortitude</t>
        </is>
      </c>
      <c r="B101" s="12" t="inlineStr">
        <is>
          <t>END</t>
        </is>
      </c>
      <c r="C101" s="12" t="n">
        <v>2</v>
      </c>
      <c r="D101" s="12" t="inlineStr">
        <is>
          <t>non_combat</t>
        </is>
      </c>
      <c r="E101" s="12" t="inlineStr">
        <is>
          <t>Likely</t>
        </is>
      </c>
      <c r="F101" s="12" t="inlineStr">
        <is>
          <t>fallout.wiki - Fallout 76 Perks (Endurance section)</t>
        </is>
      </c>
      <c r="G101" s="12" t="n">
        <v>0</v>
      </c>
      <c r="H101" s="12" t="n">
        <v>1</v>
      </c>
      <c r="I101" s="12" t="n">
        <v>2</v>
      </c>
      <c r="J101" s="12" t="n">
        <v>2</v>
      </c>
      <c r="K101" s="12" t="n">
        <v>2</v>
      </c>
      <c r="L101" s="12" t="n">
        <v>0</v>
      </c>
      <c r="M101" s="12" t="n">
        <v>0</v>
      </c>
      <c r="N101" s="12" t="n">
        <v>0</v>
      </c>
      <c r="O101" s="12" t="n">
        <v>0</v>
      </c>
      <c r="P101" s="12" t="n">
        <v>0</v>
      </c>
    </row>
    <row r="102">
      <c r="A102" s="12" t="inlineStr">
        <is>
          <t>Photosynthetic</t>
        </is>
      </c>
      <c r="B102" s="12" t="inlineStr">
        <is>
          <t>END</t>
        </is>
      </c>
      <c r="C102" s="12" t="n">
        <v>2</v>
      </c>
      <c r="D102" s="12" t="inlineStr">
        <is>
          <t>non_combat</t>
        </is>
      </c>
      <c r="E102" s="12" t="inlineStr">
        <is>
          <t>Likely</t>
        </is>
      </c>
      <c r="F102" s="12" t="inlineStr">
        <is>
          <t>fallout.wiki - Fallout 76 Perks (Endurance section)</t>
        </is>
      </c>
      <c r="G102" s="12" t="n">
        <v>0</v>
      </c>
      <c r="H102" s="12" t="n">
        <v>1</v>
      </c>
      <c r="I102" s="12" t="n">
        <v>2</v>
      </c>
      <c r="J102" s="12" t="n">
        <v>2</v>
      </c>
      <c r="K102" s="12" t="n">
        <v>2</v>
      </c>
      <c r="L102" s="12" t="n">
        <v>0</v>
      </c>
      <c r="M102" s="12" t="n">
        <v>0</v>
      </c>
      <c r="N102" s="12" t="n">
        <v>0</v>
      </c>
      <c r="O102" s="12" t="n">
        <v>0</v>
      </c>
      <c r="P102" s="12" t="n">
        <v>0</v>
      </c>
    </row>
    <row r="103">
      <c r="A103" s="12" t="inlineStr">
        <is>
          <t>Professional Drinker</t>
        </is>
      </c>
      <c r="B103" s="12" t="inlineStr">
        <is>
          <t>END</t>
        </is>
      </c>
      <c r="C103" s="12" t="n">
        <v>1</v>
      </c>
      <c r="D103" s="12" t="inlineStr">
        <is>
          <t>non_combat</t>
        </is>
      </c>
      <c r="E103" s="12" t="inlineStr">
        <is>
          <t>Likely</t>
        </is>
      </c>
      <c r="F103" s="12" t="inlineStr">
        <is>
          <t>fallout.wiki - Fallout 76 Perks (Endurance section)</t>
        </is>
      </c>
      <c r="G103" s="12" t="n">
        <v>0</v>
      </c>
      <c r="H103" s="12" t="n">
        <v>2</v>
      </c>
      <c r="I103" s="12" t="n">
        <v>2</v>
      </c>
      <c r="J103" s="12" t="n">
        <v>2</v>
      </c>
      <c r="K103" s="12" t="n">
        <v>2</v>
      </c>
      <c r="L103" s="12" t="n">
        <v>0</v>
      </c>
      <c r="M103" s="12" t="n">
        <v>0</v>
      </c>
      <c r="N103" s="12" t="n">
        <v>0</v>
      </c>
      <c r="O103" s="12" t="n">
        <v>0</v>
      </c>
      <c r="P103" s="12" t="n">
        <v>0</v>
      </c>
    </row>
    <row r="104">
      <c r="A104" s="12" t="inlineStr">
        <is>
          <t>Rad Resistant</t>
        </is>
      </c>
      <c r="B104" s="12" t="inlineStr">
        <is>
          <t>END</t>
        </is>
      </c>
      <c r="C104" s="12" t="n">
        <v>1</v>
      </c>
      <c r="D104" s="12" t="inlineStr">
        <is>
          <t>catalogued_not_wired</t>
        </is>
      </c>
      <c r="E104" s="12" t="inlineStr">
        <is>
          <t>Likely</t>
        </is>
      </c>
      <c r="F104" s="12" t="inlineStr">
        <is>
          <t>fallout.wiki - Fallout 76 Perks (Endurance section)</t>
        </is>
      </c>
      <c r="G104" s="12" t="n">
        <v>0</v>
      </c>
      <c r="H104" s="12" t="n">
        <v>1</v>
      </c>
      <c r="I104" s="12" t="n">
        <v>1</v>
      </c>
      <c r="J104" s="12" t="n">
        <v>1</v>
      </c>
      <c r="K104" s="12" t="n">
        <v>1</v>
      </c>
      <c r="L104" s="12" t="n">
        <v>0</v>
      </c>
      <c r="M104" s="12" t="n">
        <v>0</v>
      </c>
      <c r="N104" s="12" t="n">
        <v>0</v>
      </c>
      <c r="O104" s="12" t="n">
        <v>0</v>
      </c>
      <c r="P104" s="12" t="n">
        <v>0</v>
      </c>
    </row>
    <row r="105">
      <c r="A105" s="12" t="inlineStr">
        <is>
          <t>Radicool</t>
        </is>
      </c>
      <c r="B105" s="12" t="inlineStr">
        <is>
          <t>END</t>
        </is>
      </c>
      <c r="C105" s="12" t="n">
        <v>1</v>
      </c>
      <c r="D105" s="12" t="inlineStr">
        <is>
          <t>non_combat</t>
        </is>
      </c>
      <c r="E105" s="12" t="inlineStr">
        <is>
          <t>Likely</t>
        </is>
      </c>
      <c r="F105" s="12" t="inlineStr">
        <is>
          <t>fallout.wiki - Fallout 76 Perks (Endurance section)</t>
        </is>
      </c>
      <c r="G105" s="12" t="n">
        <v>0</v>
      </c>
      <c r="H105" s="12" t="n">
        <v>1</v>
      </c>
      <c r="I105" s="12" t="n">
        <v>1</v>
      </c>
      <c r="J105" s="12" t="n">
        <v>1</v>
      </c>
      <c r="K105" s="12" t="n">
        <v>1</v>
      </c>
      <c r="L105" s="12" t="n">
        <v>0</v>
      </c>
      <c r="M105" s="12" t="n">
        <v>0</v>
      </c>
      <c r="N105" s="12" t="n">
        <v>0</v>
      </c>
      <c r="O105" s="12" t="n">
        <v>0</v>
      </c>
      <c r="P105" s="12" t="n">
        <v>0</v>
      </c>
    </row>
    <row r="106">
      <c r="A106" s="12" t="inlineStr">
        <is>
          <t>Rejuvenated</t>
        </is>
      </c>
      <c r="B106" s="12" t="inlineStr">
        <is>
          <t>END</t>
        </is>
      </c>
      <c r="C106" s="12" t="n">
        <v>2</v>
      </c>
      <c r="D106" s="12" t="inlineStr">
        <is>
          <t>non_combat</t>
        </is>
      </c>
      <c r="E106" s="12" t="inlineStr">
        <is>
          <t>Likely</t>
        </is>
      </c>
      <c r="F106" s="12" t="inlineStr">
        <is>
          <t>fallout.wiki - Fallout 76 Perks (Endurance section)</t>
        </is>
      </c>
      <c r="G106" s="12" t="n">
        <v>0</v>
      </c>
      <c r="H106" s="12" t="n">
        <v>1</v>
      </c>
      <c r="I106" s="12" t="n">
        <v>2</v>
      </c>
      <c r="J106" s="12" t="n">
        <v>2</v>
      </c>
      <c r="K106" s="12" t="n">
        <v>2</v>
      </c>
      <c r="L106" s="12" t="n">
        <v>0</v>
      </c>
      <c r="M106" s="12" t="n">
        <v>0</v>
      </c>
      <c r="N106" s="12" t="n">
        <v>0</v>
      </c>
      <c r="O106" s="12" t="n">
        <v>0</v>
      </c>
      <c r="P106" s="12" t="n">
        <v>0</v>
      </c>
    </row>
    <row r="107">
      <c r="A107" s="12" t="inlineStr">
        <is>
          <t>Slow Metabolizer</t>
        </is>
      </c>
      <c r="B107" s="12" t="inlineStr">
        <is>
          <t>END</t>
        </is>
      </c>
      <c r="C107" s="12" t="n">
        <v>2</v>
      </c>
      <c r="D107" s="12" t="inlineStr">
        <is>
          <t>non_combat</t>
        </is>
      </c>
      <c r="E107" s="12" t="inlineStr">
        <is>
          <t>Likely</t>
        </is>
      </c>
      <c r="F107" s="12" t="inlineStr">
        <is>
          <t>fallout.wiki - Fallout 76 Perks (Endurance section)</t>
        </is>
      </c>
      <c r="G107" s="12" t="n">
        <v>0</v>
      </c>
      <c r="H107" s="12" t="n">
        <v>1</v>
      </c>
      <c r="I107" s="12" t="n">
        <v>2</v>
      </c>
      <c r="J107" s="12" t="n">
        <v>2</v>
      </c>
      <c r="K107" s="12" t="n">
        <v>2</v>
      </c>
      <c r="L107" s="12" t="n">
        <v>0</v>
      </c>
      <c r="M107" s="12" t="n">
        <v>0</v>
      </c>
      <c r="N107" s="12" t="n">
        <v>0</v>
      </c>
      <c r="O107" s="12" t="n">
        <v>0</v>
      </c>
      <c r="P107" s="12" t="n">
        <v>0</v>
      </c>
    </row>
    <row r="108">
      <c r="A108" s="12" t="inlineStr">
        <is>
          <t>Solar Powered</t>
        </is>
      </c>
      <c r="B108" s="12" t="inlineStr">
        <is>
          <t>END</t>
        </is>
      </c>
      <c r="C108" s="12" t="n">
        <v>3</v>
      </c>
      <c r="D108" s="12" t="inlineStr">
        <is>
          <t>non_combat</t>
        </is>
      </c>
      <c r="E108" s="12" t="inlineStr">
        <is>
          <t>Likely</t>
        </is>
      </c>
      <c r="F108" s="12" t="inlineStr">
        <is>
          <t>fallout.wiki - Fallout 76 Perks (Endurance section)</t>
        </is>
      </c>
      <c r="G108" s="12" t="n">
        <v>0</v>
      </c>
      <c r="H108" s="12" t="n">
        <v>1</v>
      </c>
      <c r="I108" s="12" t="n">
        <v>2</v>
      </c>
      <c r="J108" s="12" t="n">
        <v>3</v>
      </c>
      <c r="K108" s="12" t="n">
        <v>3</v>
      </c>
      <c r="L108" s="12" t="n">
        <v>0</v>
      </c>
      <c r="M108" s="12" t="n">
        <v>0</v>
      </c>
      <c r="N108" s="12" t="n">
        <v>0</v>
      </c>
      <c r="O108" s="12" t="n">
        <v>0</v>
      </c>
      <c r="P108" s="12" t="n">
        <v>0</v>
      </c>
    </row>
    <row r="109">
      <c r="A109" s="12" t="inlineStr">
        <is>
          <t>Starched Genes</t>
        </is>
      </c>
      <c r="B109" s="12" t="inlineStr">
        <is>
          <t>END</t>
        </is>
      </c>
      <c r="C109" s="12" t="n">
        <v>1</v>
      </c>
      <c r="D109" s="12" t="inlineStr">
        <is>
          <t>non_combat</t>
        </is>
      </c>
      <c r="E109" s="12" t="inlineStr">
        <is>
          <t>Confirmed</t>
        </is>
      </c>
      <c r="F109" s="12" t="inlineStr">
        <is>
          <t>fallout.wiki - Fallout 76 Perks (Endurance section) (cross-checked this session)</t>
        </is>
      </c>
      <c r="G109" s="12" t="n">
        <v>0</v>
      </c>
      <c r="H109" s="12" t="n">
        <v>1</v>
      </c>
      <c r="I109" s="12" t="n">
        <v>1</v>
      </c>
      <c r="J109" s="12" t="n">
        <v>1</v>
      </c>
      <c r="K109" s="12" t="n">
        <v>1</v>
      </c>
      <c r="L109" s="12" t="n">
        <v>0</v>
      </c>
      <c r="M109" s="12" t="n">
        <v>0</v>
      </c>
      <c r="N109" s="12" t="n">
        <v>0</v>
      </c>
      <c r="O109" s="12" t="n">
        <v>0</v>
      </c>
      <c r="P109" s="12" t="n">
        <v>0</v>
      </c>
    </row>
    <row r="110">
      <c r="A110" s="12" t="inlineStr">
        <is>
          <t>Sun Kissed</t>
        </is>
      </c>
      <c r="B110" s="12" t="inlineStr">
        <is>
          <t>END</t>
        </is>
      </c>
      <c r="C110" s="12" t="n">
        <v>2</v>
      </c>
      <c r="D110" s="12" t="inlineStr">
        <is>
          <t>non_combat</t>
        </is>
      </c>
      <c r="E110" s="12" t="inlineStr">
        <is>
          <t>Likely</t>
        </is>
      </c>
      <c r="F110" s="12" t="inlineStr">
        <is>
          <t>fallout.wiki - Fallout 76 Perks (Endurance section)</t>
        </is>
      </c>
      <c r="G110" s="12" t="n">
        <v>0</v>
      </c>
      <c r="H110" s="12" t="n">
        <v>1</v>
      </c>
      <c r="I110" s="12" t="n">
        <v>2</v>
      </c>
      <c r="J110" s="12" t="n">
        <v>2</v>
      </c>
      <c r="K110" s="12" t="n">
        <v>2</v>
      </c>
      <c r="L110" s="12" t="n">
        <v>0</v>
      </c>
      <c r="M110" s="12" t="n">
        <v>0</v>
      </c>
      <c r="N110" s="12" t="n">
        <v>0</v>
      </c>
      <c r="O110" s="12" t="n">
        <v>0</v>
      </c>
      <c r="P110" s="12" t="n">
        <v>0</v>
      </c>
    </row>
    <row r="111">
      <c r="A111" s="12" t="inlineStr">
        <is>
          <t>Thirst Quencher</t>
        </is>
      </c>
      <c r="B111" s="12" t="inlineStr">
        <is>
          <t>END</t>
        </is>
      </c>
      <c r="C111" s="12" t="n">
        <v>1</v>
      </c>
      <c r="D111" s="12" t="inlineStr">
        <is>
          <t>non_combat</t>
        </is>
      </c>
      <c r="E111" s="12" t="inlineStr">
        <is>
          <t>Likely</t>
        </is>
      </c>
      <c r="F111" s="12" t="inlineStr">
        <is>
          <t>fallout.wiki - Fallout 76 Perks (Endurance section)</t>
        </is>
      </c>
      <c r="G111" s="12" t="n">
        <v>0</v>
      </c>
      <c r="H111" s="12" t="n">
        <v>1</v>
      </c>
      <c r="I111" s="12" t="n">
        <v>1</v>
      </c>
      <c r="J111" s="12" t="n">
        <v>1</v>
      </c>
      <c r="K111" s="12" t="n">
        <v>1</v>
      </c>
      <c r="L111" s="12" t="n">
        <v>0</v>
      </c>
      <c r="M111" s="12" t="n">
        <v>0</v>
      </c>
      <c r="N111" s="12" t="n">
        <v>0</v>
      </c>
      <c r="O111" s="12" t="n">
        <v>0</v>
      </c>
      <c r="P111" s="12" t="n">
        <v>0</v>
      </c>
    </row>
    <row r="112">
      <c r="A112" s="12" t="inlineStr">
        <is>
          <t>Thru-hiker</t>
        </is>
      </c>
      <c r="B112" s="12" t="inlineStr">
        <is>
          <t>END</t>
        </is>
      </c>
      <c r="C112" s="12" t="n">
        <v>2</v>
      </c>
      <c r="D112" s="12" t="inlineStr">
        <is>
          <t>non_combat</t>
        </is>
      </c>
      <c r="E112" s="12" t="inlineStr">
        <is>
          <t>Likely</t>
        </is>
      </c>
      <c r="F112" s="12" t="inlineStr">
        <is>
          <t>fallout.wiki - Fallout 76 Perks (Endurance section)</t>
        </is>
      </c>
      <c r="G112" s="12" t="n">
        <v>0</v>
      </c>
      <c r="H112" s="12" t="n">
        <v>1</v>
      </c>
      <c r="I112" s="12" t="n">
        <v>2</v>
      </c>
      <c r="J112" s="12" t="n">
        <v>2</v>
      </c>
      <c r="K112" s="12" t="n">
        <v>2</v>
      </c>
      <c r="L112" s="12" t="n">
        <v>0</v>
      </c>
      <c r="M112" s="12" t="n">
        <v>0</v>
      </c>
      <c r="N112" s="12" t="n">
        <v>0</v>
      </c>
      <c r="O112" s="12" t="n">
        <v>0</v>
      </c>
      <c r="P112" s="12" t="n">
        <v>0</v>
      </c>
    </row>
    <row r="113">
      <c r="A113" s="12" t="inlineStr">
        <is>
          <t>Vaccinated</t>
        </is>
      </c>
      <c r="B113" s="12" t="inlineStr">
        <is>
          <t>END</t>
        </is>
      </c>
      <c r="C113" s="12" t="n">
        <v>1</v>
      </c>
      <c r="D113" s="12" t="inlineStr">
        <is>
          <t>non_combat</t>
        </is>
      </c>
      <c r="E113" s="12" t="inlineStr">
        <is>
          <t>Likely</t>
        </is>
      </c>
      <c r="F113" s="12" t="inlineStr">
        <is>
          <t>fallout.wiki - Fallout 76 Perks (Endurance section)</t>
        </is>
      </c>
      <c r="G113" s="12" t="n">
        <v>0</v>
      </c>
      <c r="H113" s="12" t="n">
        <v>1</v>
      </c>
      <c r="I113" s="12" t="n">
        <v>1</v>
      </c>
      <c r="J113" s="12" t="n">
        <v>1</v>
      </c>
      <c r="K113" s="12" t="n">
        <v>1</v>
      </c>
      <c r="L113" s="12" t="n">
        <v>0</v>
      </c>
      <c r="M113" s="12" t="n">
        <v>0</v>
      </c>
      <c r="N113" s="12" t="n">
        <v>0</v>
      </c>
      <c r="O113" s="12" t="n">
        <v>0</v>
      </c>
      <c r="P113" s="12" t="n">
        <v>0</v>
      </c>
    </row>
    <row r="114">
      <c r="A114" s="12" t="inlineStr">
        <is>
          <t>Rad Sponge</t>
        </is>
      </c>
      <c r="B114" s="12" t="inlineStr">
        <is>
          <t>END</t>
        </is>
      </c>
      <c r="C114" s="12" t="n">
        <v>1</v>
      </c>
      <c r="D114" s="12" t="inlineStr">
        <is>
          <t>non_combat</t>
        </is>
      </c>
      <c r="E114" s="12" t="inlineStr">
        <is>
          <t>Likely</t>
        </is>
      </c>
      <c r="F114" s="12" t="inlineStr">
        <is>
          <t>nukaknights.com Patch 62 changelog (moved from Charisma); fallout.wiki section fetch; falloutbuilds.com roster</t>
        </is>
      </c>
      <c r="G114" s="12" t="n">
        <v>0</v>
      </c>
      <c r="H114" s="12" t="n">
        <v>2</v>
      </c>
      <c r="I114" s="12" t="n">
        <v>2</v>
      </c>
      <c r="J114" s="12" t="n">
        <v>2</v>
      </c>
      <c r="K114" s="12" t="n">
        <v>2</v>
      </c>
      <c r="L114" s="12" t="n">
        <v>0</v>
      </c>
      <c r="M114" s="12" t="n">
        <v>0</v>
      </c>
      <c r="N114" s="12" t="n">
        <v>0</v>
      </c>
      <c r="O114" s="12" t="n">
        <v>0</v>
      </c>
      <c r="P114" s="12" t="n">
        <v>0</v>
      </c>
    </row>
    <row r="115">
      <c r="A115" s="12" t="inlineStr">
        <is>
          <t>Chem Diet</t>
        </is>
      </c>
      <c r="B115" s="12" t="inlineStr">
        <is>
          <t>END</t>
        </is>
      </c>
      <c r="C115" s="12" t="n">
        <v>3</v>
      </c>
      <c r="D115" s="12" t="inlineStr">
        <is>
          <t>non_combat</t>
        </is>
      </c>
      <c r="E115" s="12" t="inlineStr">
        <is>
          <t>Likely</t>
        </is>
      </c>
      <c r="F115" s="12" t="inlineStr">
        <is>
          <t>fallout.wiki - Fallout 76 Perks (Ghoul Endurance section)</t>
        </is>
      </c>
      <c r="G115" s="12" t="n">
        <v>0</v>
      </c>
      <c r="H115" s="12" t="n">
        <v>1</v>
      </c>
      <c r="I115" s="12" t="n">
        <v>2</v>
      </c>
      <c r="J115" s="12" t="n">
        <v>3</v>
      </c>
      <c r="K115" s="12" t="n">
        <v>3</v>
      </c>
      <c r="L115" s="12" t="n">
        <v>0</v>
      </c>
      <c r="M115" s="12" t="n">
        <v>0</v>
      </c>
      <c r="N115" s="12" t="n">
        <v>0</v>
      </c>
      <c r="O115" s="12" t="n">
        <v>0</v>
      </c>
      <c r="P115" s="12" t="n">
        <v>0</v>
      </c>
    </row>
    <row r="116">
      <c r="A116" s="12" t="inlineStr">
        <is>
          <t>Glowing Gut</t>
        </is>
      </c>
      <c r="B116" s="12" t="inlineStr">
        <is>
          <t>END</t>
        </is>
      </c>
      <c r="C116" s="12" t="n">
        <v>3</v>
      </c>
      <c r="D116" s="12" t="inlineStr">
        <is>
          <t>non_combat</t>
        </is>
      </c>
      <c r="E116" s="12" t="inlineStr">
        <is>
          <t>Likely</t>
        </is>
      </c>
      <c r="F116" s="12" t="inlineStr">
        <is>
          <t>fallout.wiki - Fallout 76 Perks (Ghoul Endurance section)</t>
        </is>
      </c>
      <c r="G116" s="12" t="n">
        <v>0</v>
      </c>
      <c r="H116" s="12" t="n">
        <v>1</v>
      </c>
      <c r="I116" s="12" t="n">
        <v>2</v>
      </c>
      <c r="J116" s="12" t="n">
        <v>3</v>
      </c>
      <c r="K116" s="12" t="n">
        <v>3</v>
      </c>
      <c r="L116" s="12" t="n">
        <v>0</v>
      </c>
      <c r="M116" s="12" t="n">
        <v>0</v>
      </c>
      <c r="N116" s="12" t="n">
        <v>0</v>
      </c>
      <c r="O116" s="12" t="n">
        <v>0</v>
      </c>
      <c r="P116" s="12" t="n">
        <v>0</v>
      </c>
    </row>
    <row r="117">
      <c r="A117" s="12" t="inlineStr">
        <is>
          <t>Radiation Power</t>
        </is>
      </c>
      <c r="B117" s="12" t="inlineStr">
        <is>
          <t>END</t>
        </is>
      </c>
      <c r="C117" s="12" t="n">
        <v>3</v>
      </c>
      <c r="D117" s="12" t="inlineStr">
        <is>
          <t>dmg_general_ghoul_glow</t>
        </is>
      </c>
      <c r="E117" s="12" t="inlineStr">
        <is>
          <t>Likely</t>
        </is>
      </c>
      <c r="F117" s="12" t="inlineStr">
        <is>
          <t>fallout.wiki - Fallout 76 Perks (Ghoul Endurance section)</t>
        </is>
      </c>
      <c r="G117" s="12" t="n">
        <v>0</v>
      </c>
      <c r="H117" s="12" t="n">
        <v>1</v>
      </c>
      <c r="I117" s="12" t="n">
        <v>2</v>
      </c>
      <c r="J117" s="12" t="n">
        <v>3</v>
      </c>
      <c r="K117" s="12" t="n">
        <v>3</v>
      </c>
      <c r="L117" s="12" t="n">
        <v>0</v>
      </c>
      <c r="M117" s="12" t="n">
        <v>0.1</v>
      </c>
      <c r="N117" s="12" t="n">
        <v>0.15</v>
      </c>
      <c r="O117" s="12" t="n">
        <v>0.2</v>
      </c>
      <c r="P117" s="12" t="n">
        <v>0</v>
      </c>
    </row>
    <row r="118">
      <c r="A118" s="12" t="inlineStr">
        <is>
          <t>Thick Skin</t>
        </is>
      </c>
      <c r="B118" s="12" t="inlineStr">
        <is>
          <t>END</t>
        </is>
      </c>
      <c r="C118" s="12" t="n">
        <v>3</v>
      </c>
      <c r="D118" s="12" t="inlineStr">
        <is>
          <t>catalogued_not_wired</t>
        </is>
      </c>
      <c r="E118" s="12" t="inlineStr">
        <is>
          <t>Likely</t>
        </is>
      </c>
      <c r="F118" s="12" t="inlineStr">
        <is>
          <t>fallout.wiki - Fallout 76 Perks (Ghoul Endurance section)</t>
        </is>
      </c>
      <c r="G118" s="12" t="n">
        <v>0</v>
      </c>
      <c r="H118" s="12" t="n">
        <v>1</v>
      </c>
      <c r="I118" s="12" t="n">
        <v>2</v>
      </c>
      <c r="J118" s="12" t="n">
        <v>3</v>
      </c>
      <c r="K118" s="12" t="n">
        <v>3</v>
      </c>
      <c r="L118" s="12" t="n">
        <v>0</v>
      </c>
      <c r="M118" s="12" t="n">
        <v>0</v>
      </c>
      <c r="N118" s="12" t="n">
        <v>0</v>
      </c>
      <c r="O118" s="12" t="n">
        <v>0</v>
      </c>
      <c r="P118" s="12" t="n">
        <v>0</v>
      </c>
    </row>
    <row r="119">
      <c r="A119" s="12" t="inlineStr">
        <is>
          <t>Animal Friend</t>
        </is>
      </c>
      <c r="B119" s="12" t="inlineStr">
        <is>
          <t>CHA</t>
        </is>
      </c>
      <c r="C119" s="12" t="n">
        <v>3</v>
      </c>
      <c r="D119" s="12" t="inlineStr">
        <is>
          <t>non_combat</t>
        </is>
      </c>
      <c r="E119" s="12" t="inlineStr">
        <is>
          <t>Likely</t>
        </is>
      </c>
      <c r="F119" s="12" t="inlineStr">
        <is>
          <t>fallout.wiki - Fallout 76 Perks (Charisma section)</t>
        </is>
      </c>
      <c r="G119" s="12" t="n">
        <v>0</v>
      </c>
      <c r="H119" s="12" t="n">
        <v>1</v>
      </c>
      <c r="I119" s="12" t="n">
        <v>2</v>
      </c>
      <c r="J119" s="12" t="n">
        <v>3</v>
      </c>
      <c r="K119" s="12" t="n">
        <v>3</v>
      </c>
      <c r="L119" s="12" t="n">
        <v>0</v>
      </c>
      <c r="M119" s="12" t="n">
        <v>0</v>
      </c>
      <c r="N119" s="12" t="n">
        <v>0</v>
      </c>
      <c r="O119" s="12" t="n">
        <v>0</v>
      </c>
      <c r="P119" s="12" t="n">
        <v>0</v>
      </c>
    </row>
    <row r="120">
      <c r="A120" s="12" t="inlineStr">
        <is>
          <t>Anti-Epidemic</t>
        </is>
      </c>
      <c r="B120" s="12" t="inlineStr">
        <is>
          <t>CHA</t>
        </is>
      </c>
      <c r="C120" s="12" t="n">
        <v>2</v>
      </c>
      <c r="D120" s="12" t="inlineStr">
        <is>
          <t>non_combat</t>
        </is>
      </c>
      <c r="E120" s="12" t="inlineStr">
        <is>
          <t>Likely</t>
        </is>
      </c>
      <c r="F120" s="12" t="inlineStr">
        <is>
          <t>fallout.wiki - Fallout 76 Perks (Charisma section)</t>
        </is>
      </c>
      <c r="G120" s="12" t="n">
        <v>0</v>
      </c>
      <c r="H120" s="12" t="n">
        <v>1</v>
      </c>
      <c r="I120" s="12" t="n">
        <v>2</v>
      </c>
      <c r="J120" s="12" t="n">
        <v>2</v>
      </c>
      <c r="K120" s="12" t="n">
        <v>2</v>
      </c>
      <c r="L120" s="12" t="n">
        <v>0</v>
      </c>
      <c r="M120" s="12" t="n">
        <v>0</v>
      </c>
      <c r="N120" s="12" t="n">
        <v>0</v>
      </c>
      <c r="O120" s="12" t="n">
        <v>0</v>
      </c>
      <c r="P120" s="12" t="n">
        <v>0</v>
      </c>
    </row>
    <row r="121">
      <c r="A121" s="12" t="inlineStr">
        <is>
          <t>Bodyguards</t>
        </is>
      </c>
      <c r="B121" s="12" t="inlineStr">
        <is>
          <t>CHA</t>
        </is>
      </c>
      <c r="C121" s="12" t="n">
        <v>1</v>
      </c>
      <c r="D121" s="12" t="inlineStr">
        <is>
          <t>catalogued_not_wired</t>
        </is>
      </c>
      <c r="E121" s="12" t="inlineStr">
        <is>
          <t>Likely</t>
        </is>
      </c>
      <c r="F121" s="12" t="inlineStr">
        <is>
          <t>fallout.wiki - Fallout 76 Perks (Charisma section)</t>
        </is>
      </c>
      <c r="G121" s="12" t="n">
        <v>0</v>
      </c>
      <c r="H121" s="12" t="n">
        <v>1</v>
      </c>
      <c r="I121" s="12" t="n">
        <v>1</v>
      </c>
      <c r="J121" s="12" t="n">
        <v>1</v>
      </c>
      <c r="K121" s="12" t="n">
        <v>1</v>
      </c>
      <c r="L121" s="12" t="n">
        <v>0</v>
      </c>
      <c r="M121" s="12" t="n">
        <v>0</v>
      </c>
      <c r="N121" s="12" t="n">
        <v>0</v>
      </c>
      <c r="O121" s="12" t="n">
        <v>0</v>
      </c>
      <c r="P121" s="12" t="n">
        <v>0</v>
      </c>
    </row>
    <row r="122">
      <c r="A122" s="12" t="inlineStr">
        <is>
          <t>E.M.T.</t>
        </is>
      </c>
      <c r="B122" s="12" t="inlineStr">
        <is>
          <t>CHA</t>
        </is>
      </c>
      <c r="C122" s="12" t="n">
        <v>1</v>
      </c>
      <c r="D122" s="12" t="inlineStr">
        <is>
          <t>non_combat</t>
        </is>
      </c>
      <c r="E122" s="12" t="inlineStr">
        <is>
          <t>Confirmed</t>
        </is>
      </c>
      <c r="F122" s="12" t="inlineStr">
        <is>
          <t>nukaknights.com Patch 62/PTS changelog; fallout.wiki section fetch</t>
        </is>
      </c>
      <c r="G122" s="12" t="n">
        <v>0</v>
      </c>
      <c r="H122" s="12" t="n">
        <v>2</v>
      </c>
      <c r="I122" s="12" t="n">
        <v>2</v>
      </c>
      <c r="J122" s="12" t="n">
        <v>2</v>
      </c>
      <c r="K122" s="12" t="n">
        <v>2</v>
      </c>
      <c r="L122" s="12" t="n">
        <v>0</v>
      </c>
      <c r="M122" s="12" t="n">
        <v>0</v>
      </c>
      <c r="N122" s="12" t="n">
        <v>0</v>
      </c>
      <c r="O122" s="12" t="n">
        <v>0</v>
      </c>
      <c r="P122" s="12" t="n">
        <v>0</v>
      </c>
    </row>
    <row r="123">
      <c r="A123" s="12" t="inlineStr">
        <is>
          <t>Friendly Fire</t>
        </is>
      </c>
      <c r="B123" s="12" t="inlineStr">
        <is>
          <t>CHA</t>
        </is>
      </c>
      <c r="C123" s="12" t="n">
        <v>3</v>
      </c>
      <c r="D123" s="12" t="inlineStr">
        <is>
          <t>non_combat</t>
        </is>
      </c>
      <c r="E123" s="12" t="inlineStr">
        <is>
          <t>Likely</t>
        </is>
      </c>
      <c r="F123" s="12" t="inlineStr">
        <is>
          <t>fallout.wiki - Fallout 76 Perks (Charisma section)</t>
        </is>
      </c>
      <c r="G123" s="12" t="n">
        <v>0</v>
      </c>
      <c r="H123" s="12" t="n">
        <v>1</v>
      </c>
      <c r="I123" s="12" t="n">
        <v>2</v>
      </c>
      <c r="J123" s="12" t="n">
        <v>3</v>
      </c>
      <c r="K123" s="12" t="n">
        <v>3</v>
      </c>
      <c r="L123" s="12" t="n">
        <v>0</v>
      </c>
      <c r="M123" s="12" t="n">
        <v>0</v>
      </c>
      <c r="N123" s="12" t="n">
        <v>0</v>
      </c>
      <c r="O123" s="12" t="n">
        <v>0</v>
      </c>
      <c r="P123" s="12" t="n">
        <v>0</v>
      </c>
    </row>
    <row r="124">
      <c r="A124" s="12" t="inlineStr">
        <is>
          <t>Happy Camper</t>
        </is>
      </c>
      <c r="B124" s="12" t="inlineStr">
        <is>
          <t>CHA</t>
        </is>
      </c>
      <c r="C124" s="12" t="n">
        <v>2</v>
      </c>
      <c r="D124" s="12" t="inlineStr">
        <is>
          <t>non_combat</t>
        </is>
      </c>
      <c r="E124" s="12" t="inlineStr">
        <is>
          <t>Likely</t>
        </is>
      </c>
      <c r="F124" s="12" t="inlineStr">
        <is>
          <t>fallout.wiki - Fallout 76 Perks (Charisma section)</t>
        </is>
      </c>
      <c r="G124" s="12" t="n">
        <v>0</v>
      </c>
      <c r="H124" s="12" t="n">
        <v>1</v>
      </c>
      <c r="I124" s="12" t="n">
        <v>2</v>
      </c>
      <c r="J124" s="12" t="n">
        <v>2</v>
      </c>
      <c r="K124" s="12" t="n">
        <v>2</v>
      </c>
      <c r="L124" s="12" t="n">
        <v>0</v>
      </c>
      <c r="M124" s="12" t="n">
        <v>0</v>
      </c>
      <c r="N124" s="12" t="n">
        <v>0</v>
      </c>
      <c r="O124" s="12" t="n">
        <v>0</v>
      </c>
      <c r="P124" s="12" t="n">
        <v>0</v>
      </c>
    </row>
    <row r="125">
      <c r="A125" s="12" t="inlineStr">
        <is>
          <t>Happy-Go-Lucky</t>
        </is>
      </c>
      <c r="B125" s="12" t="inlineStr">
        <is>
          <t>CHA</t>
        </is>
      </c>
      <c r="C125" s="12" t="n">
        <v>2</v>
      </c>
      <c r="D125" s="12" t="inlineStr">
        <is>
          <t>non_combat</t>
        </is>
      </c>
      <c r="E125" s="12" t="inlineStr">
        <is>
          <t>Likely</t>
        </is>
      </c>
      <c r="F125" s="12" t="inlineStr">
        <is>
          <t>fallout.wiki - Fallout 76 Perks (Charisma section)</t>
        </is>
      </c>
      <c r="G125" s="12" t="n">
        <v>0</v>
      </c>
      <c r="H125" s="12" t="n">
        <v>1</v>
      </c>
      <c r="I125" s="12" t="n">
        <v>2</v>
      </c>
      <c r="J125" s="12" t="n">
        <v>2</v>
      </c>
      <c r="K125" s="12" t="n">
        <v>2</v>
      </c>
      <c r="L125" s="12" t="n">
        <v>0</v>
      </c>
      <c r="M125" s="12" t="n">
        <v>0</v>
      </c>
      <c r="N125" s="12" t="n">
        <v>0</v>
      </c>
      <c r="O125" s="12" t="n">
        <v>0</v>
      </c>
      <c r="P125" s="12" t="n">
        <v>0</v>
      </c>
    </row>
    <row r="126">
      <c r="A126" s="12" t="inlineStr">
        <is>
          <t>Hard Bargain</t>
        </is>
      </c>
      <c r="B126" s="12" t="inlineStr">
        <is>
          <t>CHA</t>
        </is>
      </c>
      <c r="C126" s="12" t="n">
        <v>1</v>
      </c>
      <c r="D126" s="12" t="inlineStr">
        <is>
          <t>non_combat</t>
        </is>
      </c>
      <c r="E126" s="12" t="inlineStr">
        <is>
          <t>Likely</t>
        </is>
      </c>
      <c r="F126" s="12" t="inlineStr">
        <is>
          <t>fallout.wiki - Fallout 76 Perks (Charisma section)</t>
        </is>
      </c>
      <c r="G126" s="12" t="n">
        <v>0</v>
      </c>
      <c r="H126" s="12" t="n">
        <v>1</v>
      </c>
      <c r="I126" s="12" t="n">
        <v>1</v>
      </c>
      <c r="J126" s="12" t="n">
        <v>1</v>
      </c>
      <c r="K126" s="12" t="n">
        <v>1</v>
      </c>
      <c r="L126" s="12" t="n">
        <v>0</v>
      </c>
      <c r="M126" s="12" t="n">
        <v>0</v>
      </c>
      <c r="N126" s="12" t="n">
        <v>0</v>
      </c>
      <c r="O126" s="12" t="n">
        <v>0</v>
      </c>
      <c r="P126" s="12" t="n">
        <v>0</v>
      </c>
    </row>
    <row r="127">
      <c r="A127" s="12" t="inlineStr">
        <is>
          <t>Healing Hands</t>
        </is>
      </c>
      <c r="B127" s="12" t="inlineStr">
        <is>
          <t>CHA</t>
        </is>
      </c>
      <c r="C127" s="12" t="n">
        <v>1</v>
      </c>
      <c r="D127" s="12" t="inlineStr">
        <is>
          <t>non_combat</t>
        </is>
      </c>
      <c r="E127" s="12" t="inlineStr">
        <is>
          <t>Confirmed</t>
        </is>
      </c>
      <c r="F127" s="12" t="inlineStr">
        <is>
          <t>nukaknights.com PTS changelog; fallout.wiki section fetch</t>
        </is>
      </c>
      <c r="G127" s="12" t="n">
        <v>0</v>
      </c>
      <c r="H127" s="12" t="n">
        <v>1</v>
      </c>
      <c r="I127" s="12" t="n">
        <v>1</v>
      </c>
      <c r="J127" s="12" t="n">
        <v>1</v>
      </c>
      <c r="K127" s="12" t="n">
        <v>1</v>
      </c>
      <c r="L127" s="12" t="n">
        <v>0</v>
      </c>
      <c r="M127" s="12" t="n">
        <v>0</v>
      </c>
      <c r="N127" s="12" t="n">
        <v>0</v>
      </c>
      <c r="O127" s="12" t="n">
        <v>0</v>
      </c>
      <c r="P127" s="12" t="n">
        <v>0</v>
      </c>
    </row>
    <row r="128">
      <c r="A128" s="12" t="inlineStr">
        <is>
          <t>Injector</t>
        </is>
      </c>
      <c r="B128" s="12" t="inlineStr">
        <is>
          <t>CHA</t>
        </is>
      </c>
      <c r="C128" s="12" t="n">
        <v>1</v>
      </c>
      <c r="D128" s="12" t="inlineStr">
        <is>
          <t>non_combat</t>
        </is>
      </c>
      <c r="E128" s="12" t="inlineStr">
        <is>
          <t>Confirmed</t>
        </is>
      </c>
      <c r="F128" s="12" t="inlineStr">
        <is>
          <t>nukaknights.com Patch 62/PTS changelog; fallout.wiki section fetch</t>
        </is>
      </c>
      <c r="G128" s="12" t="n">
        <v>0</v>
      </c>
      <c r="H128" s="12" t="n">
        <v>1</v>
      </c>
      <c r="I128" s="12" t="n">
        <v>1</v>
      </c>
      <c r="J128" s="12" t="n">
        <v>1</v>
      </c>
      <c r="K128" s="12" t="n">
        <v>1</v>
      </c>
      <c r="L128" s="12" t="n">
        <v>0</v>
      </c>
      <c r="M128" s="12" t="n">
        <v>0</v>
      </c>
      <c r="N128" s="12" t="n">
        <v>0</v>
      </c>
      <c r="O128" s="12" t="n">
        <v>0</v>
      </c>
      <c r="P128" s="12" t="n">
        <v>0</v>
      </c>
    </row>
    <row r="129">
      <c r="A129" s="12" t="inlineStr">
        <is>
          <t>Inspirational</t>
        </is>
      </c>
      <c r="B129" s="12" t="inlineStr">
        <is>
          <t>CHA</t>
        </is>
      </c>
      <c r="C129" s="12" t="n">
        <v>1</v>
      </c>
      <c r="D129" s="12" t="inlineStr">
        <is>
          <t>non_combat</t>
        </is>
      </c>
      <c r="E129" s="12" t="inlineStr">
        <is>
          <t>Likely</t>
        </is>
      </c>
      <c r="F129" s="12" t="inlineStr">
        <is>
          <t>fallout.wiki - Fallout 76 Perks (Charisma section)</t>
        </is>
      </c>
      <c r="G129" s="12" t="n">
        <v>0</v>
      </c>
      <c r="H129" s="12" t="n">
        <v>1</v>
      </c>
      <c r="I129" s="12" t="n">
        <v>1</v>
      </c>
      <c r="J129" s="12" t="n">
        <v>1</v>
      </c>
      <c r="K129" s="12" t="n">
        <v>1</v>
      </c>
      <c r="L129" s="12" t="n">
        <v>0</v>
      </c>
      <c r="M129" s="12" t="n">
        <v>0</v>
      </c>
      <c r="N129" s="12" t="n">
        <v>0</v>
      </c>
      <c r="O129" s="12" t="n">
        <v>0</v>
      </c>
      <c r="P129" s="12" t="n">
        <v>0</v>
      </c>
    </row>
    <row r="130">
      <c r="A130" s="12" t="inlineStr">
        <is>
          <t>Lone Wanderer</t>
        </is>
      </c>
      <c r="B130" s="12" t="inlineStr">
        <is>
          <t>CHA</t>
        </is>
      </c>
      <c r="C130" s="12" t="n">
        <v>1</v>
      </c>
      <c r="D130" s="12" t="inlineStr">
        <is>
          <t>catalogued_not_wired</t>
        </is>
      </c>
      <c r="E130" s="12" t="inlineStr">
        <is>
          <t>Confirmed</t>
        </is>
      </c>
      <c r="F130" s="12" t="inlineStr">
        <is>
          <t>WebSearch cross-check (post-Patch 1.7.16.13 rework); fallout.wiki section fetch</t>
        </is>
      </c>
      <c r="G130" s="12" t="n">
        <v>0</v>
      </c>
      <c r="H130" s="12" t="n">
        <v>2</v>
      </c>
      <c r="I130" s="12" t="n">
        <v>2</v>
      </c>
      <c r="J130" s="12" t="n">
        <v>2</v>
      </c>
      <c r="K130" s="12" t="n">
        <v>2</v>
      </c>
      <c r="L130" s="12" t="n">
        <v>0</v>
      </c>
      <c r="M130" s="12" t="n">
        <v>0</v>
      </c>
      <c r="N130" s="12" t="n">
        <v>0</v>
      </c>
      <c r="O130" s="12" t="n">
        <v>0</v>
      </c>
      <c r="P130" s="12" t="n">
        <v>0</v>
      </c>
    </row>
    <row r="131">
      <c r="A131" s="12" t="inlineStr">
        <is>
          <t>Magnetic Personality</t>
        </is>
      </c>
      <c r="B131" s="12" t="inlineStr">
        <is>
          <t>CHA</t>
        </is>
      </c>
      <c r="C131" s="12" t="n">
        <v>2</v>
      </c>
      <c r="D131" s="12" t="inlineStr">
        <is>
          <t>non_combat</t>
        </is>
      </c>
      <c r="E131" s="12" t="inlineStr">
        <is>
          <t>Likely</t>
        </is>
      </c>
      <c r="F131" s="12" t="inlineStr">
        <is>
          <t>fallout.wiki - Fallout 76 Perks (Charisma section)</t>
        </is>
      </c>
      <c r="G131" s="12" t="n">
        <v>0</v>
      </c>
      <c r="H131" s="12" t="n">
        <v>1</v>
      </c>
      <c r="I131" s="12" t="n">
        <v>2</v>
      </c>
      <c r="J131" s="12" t="n">
        <v>2</v>
      </c>
      <c r="K131" s="12" t="n">
        <v>2</v>
      </c>
      <c r="L131" s="12" t="n">
        <v>0</v>
      </c>
      <c r="M131" s="12" t="n">
        <v>0</v>
      </c>
      <c r="N131" s="12" t="n">
        <v>0</v>
      </c>
      <c r="O131" s="12" t="n">
        <v>0</v>
      </c>
      <c r="P131" s="12" t="n">
        <v>0</v>
      </c>
    </row>
    <row r="132">
      <c r="A132" s="12" t="inlineStr">
        <is>
          <t>Overly Generous</t>
        </is>
      </c>
      <c r="B132" s="12" t="inlineStr">
        <is>
          <t>CHA</t>
        </is>
      </c>
      <c r="C132" s="12" t="n">
        <v>2</v>
      </c>
      <c r="D132" s="12" t="inlineStr">
        <is>
          <t>non_combat</t>
        </is>
      </c>
      <c r="E132" s="12" t="inlineStr">
        <is>
          <t>Unconfirmed</t>
        </is>
      </c>
      <c r="F132" s="12" t="inlineStr">
        <is>
          <t>fallout.wiki - Fallout 76 Perks (Charisma section)</t>
        </is>
      </c>
      <c r="G132" s="12" t="n">
        <v>0</v>
      </c>
      <c r="H132" s="12" t="n">
        <v>1</v>
      </c>
      <c r="I132" s="12" t="n">
        <v>2</v>
      </c>
      <c r="J132" s="12" t="n">
        <v>2</v>
      </c>
      <c r="K132" s="12" t="n">
        <v>2</v>
      </c>
      <c r="L132" s="12" t="n">
        <v>0</v>
      </c>
      <c r="M132" s="12" t="n">
        <v>0</v>
      </c>
      <c r="N132" s="12" t="n">
        <v>0</v>
      </c>
      <c r="O132" s="12" t="n">
        <v>0</v>
      </c>
      <c r="P132" s="12" t="n">
        <v>0</v>
      </c>
    </row>
    <row r="133">
      <c r="A133" s="12" t="inlineStr">
        <is>
          <t>Party Boy</t>
        </is>
      </c>
      <c r="B133" s="12" t="inlineStr">
        <is>
          <t>CHA</t>
        </is>
      </c>
      <c r="C133" s="12" t="n">
        <v>2</v>
      </c>
      <c r="D133" s="12" t="inlineStr">
        <is>
          <t>non_combat</t>
        </is>
      </c>
      <c r="E133" s="12" t="inlineStr">
        <is>
          <t>Likely</t>
        </is>
      </c>
      <c r="F133" s="12" t="inlineStr">
        <is>
          <t>fallout.wiki - Fallout 76 Perks (Charisma section); note non-standard cost progression (2,3 not 1,2)</t>
        </is>
      </c>
      <c r="G133" s="12" t="n">
        <v>0</v>
      </c>
      <c r="H133" s="12" t="n">
        <v>2</v>
      </c>
      <c r="I133" s="12" t="n">
        <v>3</v>
      </c>
      <c r="J133" s="12" t="n">
        <v>3</v>
      </c>
      <c r="K133" s="12" t="n">
        <v>3</v>
      </c>
      <c r="L133" s="12" t="n">
        <v>0</v>
      </c>
      <c r="M133" s="12" t="n">
        <v>0</v>
      </c>
      <c r="N133" s="12" t="n">
        <v>0</v>
      </c>
      <c r="O133" s="12" t="n">
        <v>0</v>
      </c>
      <c r="P133" s="12" t="n">
        <v>0</v>
      </c>
    </row>
    <row r="134">
      <c r="A134" s="12" t="inlineStr">
        <is>
          <t>Party Girl</t>
        </is>
      </c>
      <c r="B134" s="12" t="inlineStr">
        <is>
          <t>CHA</t>
        </is>
      </c>
      <c r="C134" s="12" t="n">
        <v>2</v>
      </c>
      <c r="D134" s="12" t="inlineStr">
        <is>
          <t>non_combat</t>
        </is>
      </c>
      <c r="E134" s="12" t="inlineStr">
        <is>
          <t>Likely</t>
        </is>
      </c>
      <c r="F134" s="12" t="inlineStr">
        <is>
          <t>fallout.wiki - Fallout 76 Perks (Charisma section); note non-standard cost progression (2,3 not 1,2)</t>
        </is>
      </c>
      <c r="G134" s="12" t="n">
        <v>0</v>
      </c>
      <c r="H134" s="12" t="n">
        <v>2</v>
      </c>
      <c r="I134" s="12" t="n">
        <v>3</v>
      </c>
      <c r="J134" s="12" t="n">
        <v>3</v>
      </c>
      <c r="K134" s="12" t="n">
        <v>3</v>
      </c>
      <c r="L134" s="12" t="n">
        <v>0</v>
      </c>
      <c r="M134" s="12" t="n">
        <v>0</v>
      </c>
      <c r="N134" s="12" t="n">
        <v>0</v>
      </c>
      <c r="O134" s="12" t="n">
        <v>0</v>
      </c>
      <c r="P134" s="12" t="n">
        <v>0</v>
      </c>
    </row>
    <row r="135">
      <c r="A135" s="12" t="inlineStr">
        <is>
          <t>Philanthropist</t>
        </is>
      </c>
      <c r="B135" s="12" t="inlineStr">
        <is>
          <t>CHA</t>
        </is>
      </c>
      <c r="C135" s="12" t="n">
        <v>3</v>
      </c>
      <c r="D135" s="12" t="inlineStr">
        <is>
          <t>non_combat</t>
        </is>
      </c>
      <c r="E135" s="12" t="inlineStr">
        <is>
          <t>Likely</t>
        </is>
      </c>
      <c r="F135" s="12" t="inlineStr">
        <is>
          <t>fallout.wiki - Fallout 76 Perks (Charisma section)</t>
        </is>
      </c>
      <c r="G135" s="12" t="n">
        <v>0</v>
      </c>
      <c r="H135" s="12" t="n">
        <v>1</v>
      </c>
      <c r="I135" s="12" t="n">
        <v>2</v>
      </c>
      <c r="J135" s="12" t="n">
        <v>3</v>
      </c>
      <c r="K135" s="12" t="n">
        <v>3</v>
      </c>
      <c r="L135" s="12" t="n">
        <v>0</v>
      </c>
      <c r="M135" s="12" t="n">
        <v>0</v>
      </c>
      <c r="N135" s="12" t="n">
        <v>0</v>
      </c>
      <c r="O135" s="12" t="n">
        <v>0</v>
      </c>
      <c r="P135" s="12" t="n">
        <v>0</v>
      </c>
    </row>
    <row r="136">
      <c r="A136" s="12" t="inlineStr">
        <is>
          <t>Quack Surgeon</t>
        </is>
      </c>
      <c r="B136" s="12" t="inlineStr">
        <is>
          <t>CHA</t>
        </is>
      </c>
      <c r="C136" s="12" t="n">
        <v>1</v>
      </c>
      <c r="D136" s="12" t="inlineStr">
        <is>
          <t>non_combat</t>
        </is>
      </c>
      <c r="E136" s="12" t="inlineStr">
        <is>
          <t>Likely</t>
        </is>
      </c>
      <c r="F136" s="12" t="inlineStr">
        <is>
          <t>fallout.wiki - Fallout 76 Perks (Charisma section)</t>
        </is>
      </c>
      <c r="G136" s="12" t="n">
        <v>0</v>
      </c>
      <c r="H136" s="12" t="n">
        <v>1</v>
      </c>
      <c r="I136" s="12" t="n">
        <v>1</v>
      </c>
      <c r="J136" s="12" t="n">
        <v>1</v>
      </c>
      <c r="K136" s="12" t="n">
        <v>1</v>
      </c>
      <c r="L136" s="12" t="n">
        <v>0</v>
      </c>
      <c r="M136" s="12" t="n">
        <v>0</v>
      </c>
      <c r="N136" s="12" t="n">
        <v>0</v>
      </c>
      <c r="O136" s="12" t="n">
        <v>0</v>
      </c>
      <c r="P136" s="12" t="n">
        <v>0</v>
      </c>
    </row>
    <row r="137">
      <c r="A137" s="12" t="inlineStr">
        <is>
          <t>Revenant</t>
        </is>
      </c>
      <c r="B137" s="12" t="inlineStr">
        <is>
          <t>CHA</t>
        </is>
      </c>
      <c r="C137" s="12" t="n">
        <v>1</v>
      </c>
      <c r="D137" s="12" t="inlineStr">
        <is>
          <t>catalogued_not_wired</t>
        </is>
      </c>
      <c r="E137" s="12" t="inlineStr">
        <is>
          <t>Confirmed</t>
        </is>
      </c>
      <c r="F137" s="12" t="inlineStr">
        <is>
          <t>nukaknights.com Patch 62/PTS changelog (moved from Endurance); fallout.wiki section fetch</t>
        </is>
      </c>
      <c r="G137" s="12" t="n">
        <v>0</v>
      </c>
      <c r="H137" s="12" t="n">
        <v>1</v>
      </c>
      <c r="I137" s="12" t="n">
        <v>1</v>
      </c>
      <c r="J137" s="12" t="n">
        <v>1</v>
      </c>
      <c r="K137" s="12" t="n">
        <v>1</v>
      </c>
      <c r="L137" s="12" t="n">
        <v>0</v>
      </c>
      <c r="M137" s="12" t="n">
        <v>0</v>
      </c>
      <c r="N137" s="12" t="n">
        <v>0</v>
      </c>
      <c r="O137" s="12" t="n">
        <v>0</v>
      </c>
      <c r="P137" s="12" t="n">
        <v>0</v>
      </c>
    </row>
    <row r="138">
      <c r="A138" s="12" t="inlineStr">
        <is>
          <t>Spiritual Healer</t>
        </is>
      </c>
      <c r="B138" s="12" t="inlineStr">
        <is>
          <t>CHA</t>
        </is>
      </c>
      <c r="C138" s="12" t="n">
        <v>1</v>
      </c>
      <c r="D138" s="12" t="inlineStr">
        <is>
          <t>non_combat</t>
        </is>
      </c>
      <c r="E138" s="12" t="inlineStr">
        <is>
          <t>Likely</t>
        </is>
      </c>
      <c r="F138" s="12" t="inlineStr">
        <is>
          <t>fallout.wiki - Fallout 76 Perks (Charisma section)</t>
        </is>
      </c>
      <c r="G138" s="12" t="n">
        <v>0</v>
      </c>
      <c r="H138" s="12" t="n">
        <v>1</v>
      </c>
      <c r="I138" s="12" t="n">
        <v>1</v>
      </c>
      <c r="J138" s="12" t="n">
        <v>1</v>
      </c>
      <c r="K138" s="12" t="n">
        <v>1</v>
      </c>
      <c r="L138" s="12" t="n">
        <v>0</v>
      </c>
      <c r="M138" s="12" t="n">
        <v>0</v>
      </c>
      <c r="N138" s="12" t="n">
        <v>0</v>
      </c>
      <c r="O138" s="12" t="n">
        <v>0</v>
      </c>
      <c r="P138" s="12" t="n">
        <v>0</v>
      </c>
    </row>
    <row r="139">
      <c r="A139" s="12" t="inlineStr">
        <is>
          <t>Squad Maneuvers</t>
        </is>
      </c>
      <c r="B139" s="12" t="inlineStr">
        <is>
          <t>CHA</t>
        </is>
      </c>
      <c r="C139" s="12" t="n">
        <v>2</v>
      </c>
      <c r="D139" s="12" t="inlineStr">
        <is>
          <t>non_combat</t>
        </is>
      </c>
      <c r="E139" s="12" t="inlineStr">
        <is>
          <t>Likely</t>
        </is>
      </c>
      <c r="F139" s="12" t="inlineStr">
        <is>
          <t>fallout.wiki - Fallout 76 Perks (Charisma section)</t>
        </is>
      </c>
      <c r="G139" s="12" t="n">
        <v>0</v>
      </c>
      <c r="H139" s="12" t="n">
        <v>1</v>
      </c>
      <c r="I139" s="12" t="n">
        <v>2</v>
      </c>
      <c r="J139" s="12" t="n">
        <v>2</v>
      </c>
      <c r="K139" s="12" t="n">
        <v>2</v>
      </c>
      <c r="L139" s="12" t="n">
        <v>0</v>
      </c>
      <c r="M139" s="12" t="n">
        <v>0</v>
      </c>
      <c r="N139" s="12" t="n">
        <v>0</v>
      </c>
      <c r="O139" s="12" t="n">
        <v>0</v>
      </c>
      <c r="P139" s="12" t="n">
        <v>0</v>
      </c>
    </row>
    <row r="140">
      <c r="A140" s="12" t="inlineStr">
        <is>
          <t>Strange In Numbers</t>
        </is>
      </c>
      <c r="B140" s="12" t="inlineStr">
        <is>
          <t>CHA</t>
        </is>
      </c>
      <c r="C140" s="12" t="n">
        <v>1</v>
      </c>
      <c r="D140" s="12" t="inlineStr">
        <is>
          <t>non_combat</t>
        </is>
      </c>
      <c r="E140" s="12" t="inlineStr">
        <is>
          <t>Likely</t>
        </is>
      </c>
      <c r="F140" s="12" t="inlineStr">
        <is>
          <t>fallout.wiki - Fallout 76 Perks (Charisma section)</t>
        </is>
      </c>
      <c r="G140" s="12" t="n">
        <v>0</v>
      </c>
      <c r="H140" s="12" t="n">
        <v>1</v>
      </c>
      <c r="I140" s="12" t="n">
        <v>1</v>
      </c>
      <c r="J140" s="12" t="n">
        <v>1</v>
      </c>
      <c r="K140" s="12" t="n">
        <v>1</v>
      </c>
      <c r="L140" s="12" t="n">
        <v>0</v>
      </c>
      <c r="M140" s="12" t="n">
        <v>0</v>
      </c>
      <c r="N140" s="12" t="n">
        <v>0</v>
      </c>
      <c r="O140" s="12" t="n">
        <v>0</v>
      </c>
      <c r="P140" s="12" t="n">
        <v>0</v>
      </c>
    </row>
    <row r="141">
      <c r="A141" s="12" t="inlineStr">
        <is>
          <t>Suppressor</t>
        </is>
      </c>
      <c r="B141" s="12" t="inlineStr">
        <is>
          <t>CHA</t>
        </is>
      </c>
      <c r="C141" s="12" t="n">
        <v>3</v>
      </c>
      <c r="D141" s="12" t="inlineStr">
        <is>
          <t>catalogued_not_wired</t>
        </is>
      </c>
      <c r="E141" s="12" t="inlineStr">
        <is>
          <t>Likely</t>
        </is>
      </c>
      <c r="F141" s="12" t="inlineStr">
        <is>
          <t>fallout.wiki - Fallout 76 Perks (Charisma section)</t>
        </is>
      </c>
      <c r="G141" s="12" t="n">
        <v>0</v>
      </c>
      <c r="H141" s="12" t="n">
        <v>1</v>
      </c>
      <c r="I141" s="12" t="n">
        <v>2</v>
      </c>
      <c r="J141" s="12" t="n">
        <v>3</v>
      </c>
      <c r="K141" s="12" t="n">
        <v>3</v>
      </c>
      <c r="L141" s="12" t="n">
        <v>0</v>
      </c>
      <c r="M141" s="12" t="n">
        <v>0</v>
      </c>
      <c r="N141" s="12" t="n">
        <v>0</v>
      </c>
      <c r="O141" s="12" t="n">
        <v>0</v>
      </c>
      <c r="P141" s="12" t="n">
        <v>0</v>
      </c>
    </row>
    <row r="142">
      <c r="A142" s="12" t="inlineStr">
        <is>
          <t>Team Medic</t>
        </is>
      </c>
      <c r="B142" s="12" t="inlineStr">
        <is>
          <t>CHA</t>
        </is>
      </c>
      <c r="C142" s="12" t="n">
        <v>3</v>
      </c>
      <c r="D142" s="12" t="inlineStr">
        <is>
          <t>non_combat</t>
        </is>
      </c>
      <c r="E142" s="12" t="inlineStr">
        <is>
          <t>Likely</t>
        </is>
      </c>
      <c r="F142" s="12" t="inlineStr">
        <is>
          <t>fallout.wiki - Fallout 76 Perks (Charisma section)</t>
        </is>
      </c>
      <c r="G142" s="12" t="n">
        <v>0</v>
      </c>
      <c r="H142" s="12" t="n">
        <v>1</v>
      </c>
      <c r="I142" s="12" t="n">
        <v>2</v>
      </c>
      <c r="J142" s="12" t="n">
        <v>3</v>
      </c>
      <c r="K142" s="12" t="n">
        <v>3</v>
      </c>
      <c r="L142" s="12" t="n">
        <v>0</v>
      </c>
      <c r="M142" s="12" t="n">
        <v>0</v>
      </c>
      <c r="N142" s="12" t="n">
        <v>0</v>
      </c>
      <c r="O142" s="12" t="n">
        <v>0</v>
      </c>
      <c r="P142" s="12" t="n">
        <v>0</v>
      </c>
    </row>
    <row r="143">
      <c r="A143" s="12" t="inlineStr">
        <is>
          <t>Tenderizer</t>
        </is>
      </c>
      <c r="B143" s="12" t="inlineStr">
        <is>
          <t>CHA</t>
        </is>
      </c>
      <c r="C143" s="12" t="n">
        <v>1</v>
      </c>
      <c r="D143" s="12" t="inlineStr">
        <is>
          <t>dmg_general_team_stack_direct_input</t>
        </is>
      </c>
      <c r="E143" s="12" t="inlineStr">
        <is>
          <t>Unconfirmed</t>
        </is>
      </c>
      <c r="F143" s="12" t="inlineStr">
        <is>
          <t>fallout.wiki - Fallout 76 Perks (Charisma section)</t>
        </is>
      </c>
      <c r="G143" s="12" t="n">
        <v>0</v>
      </c>
      <c r="H143" s="12" t="n">
        <v>2</v>
      </c>
      <c r="I143" s="12" t="n">
        <v>2</v>
      </c>
      <c r="J143" s="12" t="n">
        <v>2</v>
      </c>
      <c r="K143" s="12" t="n">
        <v>2</v>
      </c>
      <c r="L143" s="12" t="n">
        <v>0</v>
      </c>
      <c r="M143" s="12" t="n">
        <v>0</v>
      </c>
      <c r="N143" s="12" t="n">
        <v>0</v>
      </c>
      <c r="O143" s="12" t="n">
        <v>0</v>
      </c>
      <c r="P143" s="12" t="n">
        <v>0</v>
      </c>
    </row>
    <row r="144">
      <c r="A144" s="12" t="inlineStr">
        <is>
          <t>Travel Agent</t>
        </is>
      </c>
      <c r="B144" s="12" t="inlineStr">
        <is>
          <t>CHA</t>
        </is>
      </c>
      <c r="C144" s="12" t="n">
        <v>1</v>
      </c>
      <c r="D144" s="12" t="inlineStr">
        <is>
          <t>non_combat</t>
        </is>
      </c>
      <c r="E144" s="12" t="inlineStr">
        <is>
          <t>Likely</t>
        </is>
      </c>
      <c r="F144" s="12" t="inlineStr">
        <is>
          <t>fallout.wiki - Fallout 76 Perks (Charisma section)</t>
        </is>
      </c>
      <c r="G144" s="12" t="n">
        <v>0</v>
      </c>
      <c r="H144" s="12" t="n">
        <v>1</v>
      </c>
      <c r="I144" s="12" t="n">
        <v>1</v>
      </c>
      <c r="J144" s="12" t="n">
        <v>1</v>
      </c>
      <c r="K144" s="12" t="n">
        <v>1</v>
      </c>
      <c r="L144" s="12" t="n">
        <v>0</v>
      </c>
      <c r="M144" s="12" t="n">
        <v>0</v>
      </c>
      <c r="N144" s="12" t="n">
        <v>0</v>
      </c>
      <c r="O144" s="12" t="n">
        <v>0</v>
      </c>
      <c r="P144" s="12" t="n">
        <v>0</v>
      </c>
    </row>
    <row r="145">
      <c r="A145" s="12" t="inlineStr">
        <is>
          <t>Wasteland Whisperer</t>
        </is>
      </c>
      <c r="B145" s="12" t="inlineStr">
        <is>
          <t>CHA</t>
        </is>
      </c>
      <c r="C145" s="12" t="n">
        <v>3</v>
      </c>
      <c r="D145" s="12" t="inlineStr">
        <is>
          <t>non_combat</t>
        </is>
      </c>
      <c r="E145" s="12" t="inlineStr">
        <is>
          <t>Likely</t>
        </is>
      </c>
      <c r="F145" s="12" t="inlineStr">
        <is>
          <t>fallout.wiki - Fallout 76 Perks (Charisma section)</t>
        </is>
      </c>
      <c r="G145" s="12" t="n">
        <v>0</v>
      </c>
      <c r="H145" s="12" t="n">
        <v>1</v>
      </c>
      <c r="I145" s="12" t="n">
        <v>2</v>
      </c>
      <c r="J145" s="12" t="n">
        <v>3</v>
      </c>
      <c r="K145" s="12" t="n">
        <v>3</v>
      </c>
      <c r="L145" s="12" t="n">
        <v>0</v>
      </c>
      <c r="M145" s="12" t="n">
        <v>0</v>
      </c>
      <c r="N145" s="12" t="n">
        <v>0</v>
      </c>
      <c r="O145" s="12" t="n">
        <v>0</v>
      </c>
      <c r="P145" s="12" t="n">
        <v>0</v>
      </c>
    </row>
    <row r="146">
      <c r="A146" s="12" t="inlineStr">
        <is>
          <t>Feral Presence</t>
        </is>
      </c>
      <c r="B146" s="12" t="inlineStr">
        <is>
          <t>CHA</t>
        </is>
      </c>
      <c r="C146" s="12" t="n">
        <v>2</v>
      </c>
      <c r="D146" s="12" t="inlineStr">
        <is>
          <t>catalogued_not_wired</t>
        </is>
      </c>
      <c r="E146" s="12" t="inlineStr">
        <is>
          <t>Likely</t>
        </is>
      </c>
      <c r="F146" s="12" t="inlineStr">
        <is>
          <t>fallout.wiki - Fallout 76 Perks (Ghoul Charisma section)</t>
        </is>
      </c>
      <c r="G146" s="12" t="n">
        <v>0</v>
      </c>
      <c r="H146" s="12" t="n">
        <v>1</v>
      </c>
      <c r="I146" s="12" t="n">
        <v>2</v>
      </c>
      <c r="J146" s="12" t="n">
        <v>2</v>
      </c>
      <c r="K146" s="12" t="n">
        <v>2</v>
      </c>
      <c r="L146" s="12" t="n">
        <v>0</v>
      </c>
      <c r="M146" s="12" t="n">
        <v>0</v>
      </c>
      <c r="N146" s="12" t="n">
        <v>0</v>
      </c>
      <c r="O146" s="12" t="n">
        <v>0</v>
      </c>
      <c r="P146" s="12" t="n">
        <v>0</v>
      </c>
    </row>
    <row r="147">
      <c r="A147" s="12" t="inlineStr">
        <is>
          <t>Glowing One</t>
        </is>
      </c>
      <c r="B147" s="12" t="inlineStr">
        <is>
          <t>CHA</t>
        </is>
      </c>
      <c r="C147" s="12" t="n">
        <v>2</v>
      </c>
      <c r="D147" s="12" t="inlineStr">
        <is>
          <t>non_combat</t>
        </is>
      </c>
      <c r="E147" s="12" t="inlineStr">
        <is>
          <t>Likely</t>
        </is>
      </c>
      <c r="F147" s="12" t="inlineStr">
        <is>
          <t>fallout.wiki - Fallout 76 Perks (Ghoul Charisma section)</t>
        </is>
      </c>
      <c r="G147" s="12" t="n">
        <v>0</v>
      </c>
      <c r="H147" s="12" t="n">
        <v>1</v>
      </c>
      <c r="I147" s="12" t="n">
        <v>2</v>
      </c>
      <c r="J147" s="12" t="n">
        <v>2</v>
      </c>
      <c r="K147" s="12" t="n">
        <v>2</v>
      </c>
      <c r="L147" s="12" t="n">
        <v>0</v>
      </c>
      <c r="M147" s="12" t="n">
        <v>0</v>
      </c>
      <c r="N147" s="12" t="n">
        <v>0</v>
      </c>
      <c r="O147" s="12" t="n">
        <v>0</v>
      </c>
      <c r="P147" s="12" t="n">
        <v>0</v>
      </c>
    </row>
    <row r="148">
      <c r="A148" s="12" t="inlineStr">
        <is>
          <t>Moral Support</t>
        </is>
      </c>
      <c r="B148" s="12" t="inlineStr">
        <is>
          <t>CHA</t>
        </is>
      </c>
      <c r="C148" s="12" t="n">
        <v>1</v>
      </c>
      <c r="D148" s="12" t="inlineStr">
        <is>
          <t>non_combat</t>
        </is>
      </c>
      <c r="E148" s="12" t="inlineStr">
        <is>
          <t>Likely</t>
        </is>
      </c>
      <c r="F148" s="12" t="inlineStr">
        <is>
          <t>fallout.wiki - Fallout 76 Perks (Ghoul Charisma section)</t>
        </is>
      </c>
      <c r="G148" s="12" t="n">
        <v>0</v>
      </c>
      <c r="H148" s="12" t="n">
        <v>1</v>
      </c>
      <c r="I148" s="12" t="n">
        <v>1</v>
      </c>
      <c r="J148" s="12" t="n">
        <v>1</v>
      </c>
      <c r="K148" s="12" t="n">
        <v>1</v>
      </c>
      <c r="L148" s="12" t="n">
        <v>0</v>
      </c>
      <c r="M148" s="12" t="n">
        <v>0</v>
      </c>
      <c r="N148" s="12" t="n">
        <v>0</v>
      </c>
      <c r="O148" s="12" t="n">
        <v>0</v>
      </c>
      <c r="P148" s="12" t="n">
        <v>0</v>
      </c>
    </row>
    <row r="149">
      <c r="A149" s="12" t="inlineStr">
        <is>
          <t>United Ordeal</t>
        </is>
      </c>
      <c r="B149" s="12" t="inlineStr">
        <is>
          <t>CHA</t>
        </is>
      </c>
      <c r="C149" s="12" t="n">
        <v>3</v>
      </c>
      <c r="D149" s="12" t="inlineStr">
        <is>
          <t>catalogued_not_wired</t>
        </is>
      </c>
      <c r="E149" s="12" t="inlineStr">
        <is>
          <t>Likely</t>
        </is>
      </c>
      <c r="F149" s="12" t="inlineStr">
        <is>
          <t>fallout.wiki - Fallout 76 Perks (Ghoul Charisma section)</t>
        </is>
      </c>
      <c r="G149" s="12" t="n">
        <v>0</v>
      </c>
      <c r="H149" s="12" t="n">
        <v>1</v>
      </c>
      <c r="I149" s="12" t="n">
        <v>2</v>
      </c>
      <c r="J149" s="12" t="n">
        <v>3</v>
      </c>
      <c r="K149" s="12" t="n">
        <v>3</v>
      </c>
      <c r="L149" s="12" t="n">
        <v>0</v>
      </c>
      <c r="M149" s="12" t="n">
        <v>0</v>
      </c>
      <c r="N149" s="12" t="n">
        <v>0</v>
      </c>
      <c r="O149" s="12" t="n">
        <v>0</v>
      </c>
      <c r="P149" s="12" t="n">
        <v>0</v>
      </c>
    </row>
    <row r="150">
      <c r="A150" s="12" t="inlineStr">
        <is>
          <t>Armorer</t>
        </is>
      </c>
      <c r="B150" s="12" t="inlineStr">
        <is>
          <t>INT</t>
        </is>
      </c>
      <c r="C150" s="12" t="n">
        <v>1</v>
      </c>
      <c r="D150" s="12" t="inlineStr">
        <is>
          <t>non_combat</t>
        </is>
      </c>
      <c r="E150" s="12" t="inlineStr">
        <is>
          <t>Likely</t>
        </is>
      </c>
      <c r="F150" s="12" t="inlineStr">
        <is>
          <t>fallout.wiki - Fallout 76 Perks (Intelligence section)</t>
        </is>
      </c>
      <c r="G150" s="12" t="n">
        <v>0</v>
      </c>
      <c r="H150" s="12" t="n">
        <v>1</v>
      </c>
      <c r="I150" s="12" t="n">
        <v>1</v>
      </c>
      <c r="J150" s="12" t="n">
        <v>1</v>
      </c>
      <c r="K150" s="12" t="n">
        <v>1</v>
      </c>
      <c r="L150" s="12" t="n">
        <v>0</v>
      </c>
      <c r="M150" s="12" t="n">
        <v>0</v>
      </c>
      <c r="N150" s="12" t="n">
        <v>0</v>
      </c>
      <c r="O150" s="12" t="n">
        <v>0</v>
      </c>
      <c r="P150" s="12" t="n">
        <v>0</v>
      </c>
    </row>
    <row r="151">
      <c r="A151" s="12" t="inlineStr">
        <is>
          <t>Batteries Included</t>
        </is>
      </c>
      <c r="B151" s="12" t="inlineStr">
        <is>
          <t>INT</t>
        </is>
      </c>
      <c r="C151" s="12" t="n">
        <v>2</v>
      </c>
      <c r="D151" s="12" t="inlineStr">
        <is>
          <t>non_combat</t>
        </is>
      </c>
      <c r="E151" s="12" t="inlineStr">
        <is>
          <t>Likely</t>
        </is>
      </c>
      <c r="F151" s="12" t="inlineStr">
        <is>
          <t>fallout.wiki - Fallout 76 Perks (Intelligence section)</t>
        </is>
      </c>
      <c r="G151" s="12" t="n">
        <v>0</v>
      </c>
      <c r="H151" s="12" t="n">
        <v>1</v>
      </c>
      <c r="I151" s="12" t="n">
        <v>2</v>
      </c>
      <c r="J151" s="12" t="n">
        <v>2</v>
      </c>
      <c r="K151" s="12" t="n">
        <v>2</v>
      </c>
      <c r="L151" s="12" t="n">
        <v>0</v>
      </c>
      <c r="M151" s="12" t="n">
        <v>0</v>
      </c>
      <c r="N151" s="12" t="n">
        <v>0</v>
      </c>
      <c r="O151" s="12" t="n">
        <v>0</v>
      </c>
      <c r="P151" s="12" t="n">
        <v>0</v>
      </c>
    </row>
    <row r="152">
      <c r="A152" s="12" t="inlineStr">
        <is>
          <t>Chemist</t>
        </is>
      </c>
      <c r="B152" s="12" t="inlineStr">
        <is>
          <t>INT</t>
        </is>
      </c>
      <c r="C152" s="12" t="n">
        <v>1</v>
      </c>
      <c r="D152" s="12" t="inlineStr">
        <is>
          <t>non_combat</t>
        </is>
      </c>
      <c r="E152" s="12" t="inlineStr">
        <is>
          <t>Likely</t>
        </is>
      </c>
      <c r="F152" s="12" t="inlineStr">
        <is>
          <t>fallout.wiki - Fallout 76 Perks (Intelligence section)</t>
        </is>
      </c>
      <c r="G152" s="12" t="n">
        <v>0</v>
      </c>
      <c r="H152" s="12" t="n">
        <v>1</v>
      </c>
      <c r="I152" s="12" t="n">
        <v>1</v>
      </c>
      <c r="J152" s="12" t="n">
        <v>1</v>
      </c>
      <c r="K152" s="12" t="n">
        <v>1</v>
      </c>
      <c r="L152" s="12" t="n">
        <v>0</v>
      </c>
      <c r="M152" s="12" t="n">
        <v>0</v>
      </c>
      <c r="N152" s="12" t="n">
        <v>0</v>
      </c>
      <c r="O152" s="12" t="n">
        <v>0</v>
      </c>
      <c r="P152" s="12" t="n">
        <v>0</v>
      </c>
    </row>
    <row r="153">
      <c r="A153" s="12" t="inlineStr">
        <is>
          <t>Contractor</t>
        </is>
      </c>
      <c r="B153" s="12" t="inlineStr">
        <is>
          <t>INT</t>
        </is>
      </c>
      <c r="C153" s="12" t="n">
        <v>2</v>
      </c>
      <c r="D153" s="12" t="inlineStr">
        <is>
          <t>non_combat</t>
        </is>
      </c>
      <c r="E153" s="12" t="inlineStr">
        <is>
          <t>Likely</t>
        </is>
      </c>
      <c r="F153" s="12" t="inlineStr">
        <is>
          <t>fallout.wiki - Fallout 76 Perks (Intelligence section)</t>
        </is>
      </c>
      <c r="G153" s="12" t="n">
        <v>0</v>
      </c>
      <c r="H153" s="12" t="n">
        <v>1</v>
      </c>
      <c r="I153" s="12" t="n">
        <v>2</v>
      </c>
      <c r="J153" s="12" t="n">
        <v>2</v>
      </c>
      <c r="K153" s="12" t="n">
        <v>2</v>
      </c>
      <c r="L153" s="12" t="n">
        <v>0</v>
      </c>
      <c r="M153" s="12" t="n">
        <v>0</v>
      </c>
      <c r="N153" s="12" t="n">
        <v>0</v>
      </c>
      <c r="O153" s="12" t="n">
        <v>0</v>
      </c>
      <c r="P153" s="12" t="n">
        <v>0</v>
      </c>
    </row>
    <row r="154">
      <c r="A154" s="12" t="inlineStr">
        <is>
          <t>Cryologist</t>
        </is>
      </c>
      <c r="B154" s="12" t="inlineStr">
        <is>
          <t>INT</t>
        </is>
      </c>
      <c r="C154" s="12" t="n">
        <v>1</v>
      </c>
      <c r="D154" s="12" t="inlineStr">
        <is>
          <t>catalogued_not_wired</t>
        </is>
      </c>
      <c r="E154" s="12" t="inlineStr">
        <is>
          <t>Likely</t>
        </is>
      </c>
      <c r="F154" s="12" t="inlineStr">
        <is>
          <t>fallout.wiki - Fallout 76 Perks (Intelligence section)</t>
        </is>
      </c>
      <c r="G154" s="12" t="n">
        <v>0</v>
      </c>
      <c r="H154" s="12" t="n">
        <v>2</v>
      </c>
      <c r="I154" s="12" t="n">
        <v>2</v>
      </c>
      <c r="J154" s="12" t="n">
        <v>2</v>
      </c>
      <c r="K154" s="12" t="n">
        <v>2</v>
      </c>
      <c r="L154" s="12" t="n">
        <v>0</v>
      </c>
      <c r="M154" s="12" t="n">
        <v>0</v>
      </c>
      <c r="N154" s="12" t="n">
        <v>0</v>
      </c>
      <c r="O154" s="12" t="n">
        <v>0</v>
      </c>
      <c r="P154" s="12" t="n">
        <v>0</v>
      </c>
    </row>
    <row r="155">
      <c r="A155" s="12" t="inlineStr">
        <is>
          <t>Curator</t>
        </is>
      </c>
      <c r="B155" s="12" t="inlineStr">
        <is>
          <t>INT</t>
        </is>
      </c>
      <c r="C155" s="12" t="n">
        <v>1</v>
      </c>
      <c r="D155" s="12" t="inlineStr">
        <is>
          <t>non_combat</t>
        </is>
      </c>
      <c r="E155" s="12" t="inlineStr">
        <is>
          <t>Likely</t>
        </is>
      </c>
      <c r="F155" s="12" t="inlineStr">
        <is>
          <t>fallout.wiki - Fallout 76 Perks (Intelligence section)</t>
        </is>
      </c>
      <c r="G155" s="12" t="n">
        <v>0</v>
      </c>
      <c r="H155" s="12" t="n">
        <v>1</v>
      </c>
      <c r="I155" s="12" t="n">
        <v>1</v>
      </c>
      <c r="J155" s="12" t="n">
        <v>1</v>
      </c>
      <c r="K155" s="12" t="n">
        <v>1</v>
      </c>
      <c r="L155" s="12" t="n">
        <v>0</v>
      </c>
      <c r="M155" s="12" t="n">
        <v>0</v>
      </c>
      <c r="N155" s="12" t="n">
        <v>0</v>
      </c>
      <c r="O155" s="12" t="n">
        <v>0</v>
      </c>
      <c r="P155" s="12" t="n">
        <v>0</v>
      </c>
    </row>
    <row r="156">
      <c r="A156" s="12" t="inlineStr">
        <is>
          <t>Demolition Expert</t>
        </is>
      </c>
      <c r="B156" s="12" t="inlineStr">
        <is>
          <t>INT</t>
        </is>
      </c>
      <c r="C156" s="12" t="n">
        <v>3</v>
      </c>
      <c r="D156" s="12" t="inlineStr">
        <is>
          <t>explosion_dmg_pct_bonus</t>
        </is>
      </c>
      <c r="E156" s="12" t="inlineStr">
        <is>
          <t>Confirmed</t>
        </is>
      </c>
      <c r="F156" s="12" t="inlineStr">
        <is>
          <t>fallout.wiki - Demolition Expert (Fallout 76), individually verified (cross-checked this session)</t>
        </is>
      </c>
      <c r="G156" s="12" t="n">
        <v>0</v>
      </c>
      <c r="H156" s="12" t="n">
        <v>1</v>
      </c>
      <c r="I156" s="12" t="n">
        <v>2</v>
      </c>
      <c r="J156" s="12" t="n">
        <v>3</v>
      </c>
      <c r="K156" s="12" t="n">
        <v>3</v>
      </c>
      <c r="L156" s="12" t="n">
        <v>0</v>
      </c>
      <c r="M156" s="12" t="n">
        <v>0.2</v>
      </c>
      <c r="N156" s="12" t="n">
        <v>0.4</v>
      </c>
      <c r="O156" s="12" t="n">
        <v>0.6</v>
      </c>
      <c r="P156" s="12" t="n">
        <v>0</v>
      </c>
    </row>
    <row r="157">
      <c r="A157" s="12" t="inlineStr">
        <is>
          <t>Expert Hacker</t>
        </is>
      </c>
      <c r="B157" s="12" t="inlineStr">
        <is>
          <t>INT</t>
        </is>
      </c>
      <c r="C157" s="12" t="n">
        <v>1</v>
      </c>
      <c r="D157" s="12" t="inlineStr">
        <is>
          <t>non_combat</t>
        </is>
      </c>
      <c r="E157" s="12" t="inlineStr">
        <is>
          <t>Likely</t>
        </is>
      </c>
      <c r="F157" s="12" t="inlineStr">
        <is>
          <t>fallout.wiki - Fallout 76 Perks (Intelligence section)</t>
        </is>
      </c>
      <c r="G157" s="12" t="n">
        <v>0</v>
      </c>
      <c r="H157" s="12" t="n">
        <v>1</v>
      </c>
      <c r="I157" s="12" t="n">
        <v>1</v>
      </c>
      <c r="J157" s="12" t="n">
        <v>1</v>
      </c>
      <c r="K157" s="12" t="n">
        <v>1</v>
      </c>
      <c r="L157" s="12" t="n">
        <v>0</v>
      </c>
      <c r="M157" s="12" t="n">
        <v>0</v>
      </c>
      <c r="N157" s="12" t="n">
        <v>0</v>
      </c>
      <c r="O157" s="12" t="n">
        <v>0</v>
      </c>
      <c r="P157" s="12" t="n">
        <v>0</v>
      </c>
    </row>
    <row r="158">
      <c r="A158" s="12" t="inlineStr">
        <is>
          <t>Field Surgeon</t>
        </is>
      </c>
      <c r="B158" s="12" t="inlineStr">
        <is>
          <t>INT</t>
        </is>
      </c>
      <c r="C158" s="12" t="n">
        <v>1</v>
      </c>
      <c r="D158" s="12" t="inlineStr">
        <is>
          <t>non_combat</t>
        </is>
      </c>
      <c r="E158" s="12" t="inlineStr">
        <is>
          <t>Likely</t>
        </is>
      </c>
      <c r="F158" s="12" t="inlineStr">
        <is>
          <t>fallout.wiki - Fallout 76 Perks (Intelligence section)</t>
        </is>
      </c>
      <c r="G158" s="12" t="n">
        <v>0</v>
      </c>
      <c r="H158" s="12" t="n">
        <v>2</v>
      </c>
      <c r="I158" s="12" t="n">
        <v>2</v>
      </c>
      <c r="J158" s="12" t="n">
        <v>2</v>
      </c>
      <c r="K158" s="12" t="n">
        <v>2</v>
      </c>
      <c r="L158" s="12" t="n">
        <v>0</v>
      </c>
      <c r="M158" s="12" t="n">
        <v>0</v>
      </c>
      <c r="N158" s="12" t="n">
        <v>0</v>
      </c>
      <c r="O158" s="12" t="n">
        <v>0</v>
      </c>
      <c r="P158" s="12" t="n">
        <v>0</v>
      </c>
    </row>
    <row r="159">
      <c r="A159" s="12" t="inlineStr">
        <is>
          <t>First Aid</t>
        </is>
      </c>
      <c r="B159" s="12" t="inlineStr">
        <is>
          <t>INT</t>
        </is>
      </c>
      <c r="C159" s="12" t="n">
        <v>1</v>
      </c>
      <c r="D159" s="12" t="inlineStr">
        <is>
          <t>non_combat</t>
        </is>
      </c>
      <c r="E159" s="12" t="inlineStr">
        <is>
          <t>Likely</t>
        </is>
      </c>
      <c r="F159" s="12" t="inlineStr">
        <is>
          <t>fallout.wiki - Fallout 76 Perks (Intelligence section)</t>
        </is>
      </c>
      <c r="G159" s="12" t="n">
        <v>0</v>
      </c>
      <c r="H159" s="12" t="n">
        <v>1</v>
      </c>
      <c r="I159" s="12" t="n">
        <v>1</v>
      </c>
      <c r="J159" s="12" t="n">
        <v>1</v>
      </c>
      <c r="K159" s="12" t="n">
        <v>1</v>
      </c>
      <c r="L159" s="12" t="n">
        <v>0</v>
      </c>
      <c r="M159" s="12" t="n">
        <v>0</v>
      </c>
      <c r="N159" s="12" t="n">
        <v>0</v>
      </c>
      <c r="O159" s="12" t="n">
        <v>0</v>
      </c>
      <c r="P159" s="12" t="n">
        <v>0</v>
      </c>
    </row>
    <row r="160">
      <c r="A160" s="12" t="inlineStr">
        <is>
          <t>Fix It Good</t>
        </is>
      </c>
      <c r="B160" s="12" t="inlineStr">
        <is>
          <t>INT</t>
        </is>
      </c>
      <c r="C160" s="12" t="n">
        <v>3</v>
      </c>
      <c r="D160" s="12" t="inlineStr">
        <is>
          <t>non_combat</t>
        </is>
      </c>
      <c r="E160" s="12" t="inlineStr">
        <is>
          <t>Likely</t>
        </is>
      </c>
      <c r="F160" s="12" t="inlineStr">
        <is>
          <t>fallout.wiki - Fallout 76 Perks (Intelligence section)</t>
        </is>
      </c>
      <c r="G160" s="12" t="n">
        <v>0</v>
      </c>
      <c r="H160" s="12" t="n">
        <v>1</v>
      </c>
      <c r="I160" s="12" t="n">
        <v>2</v>
      </c>
      <c r="J160" s="12" t="n">
        <v>3</v>
      </c>
      <c r="K160" s="12" t="n">
        <v>3</v>
      </c>
      <c r="L160" s="12" t="n">
        <v>0</v>
      </c>
      <c r="M160" s="12" t="n">
        <v>0</v>
      </c>
      <c r="N160" s="12" t="n">
        <v>0</v>
      </c>
      <c r="O160" s="12" t="n">
        <v>0</v>
      </c>
      <c r="P160" s="12" t="n">
        <v>0</v>
      </c>
    </row>
    <row r="161">
      <c r="A161" s="12" t="inlineStr">
        <is>
          <t>Good With Salt</t>
        </is>
      </c>
      <c r="B161" s="12" t="inlineStr">
        <is>
          <t>INT</t>
        </is>
      </c>
      <c r="C161" s="12" t="n">
        <v>2</v>
      </c>
      <c r="D161" s="12" t="inlineStr">
        <is>
          <t>non_combat</t>
        </is>
      </c>
      <c r="E161" s="12" t="inlineStr">
        <is>
          <t>Likely</t>
        </is>
      </c>
      <c r="F161" s="12" t="inlineStr">
        <is>
          <t>fallout.wiki - Fallout 76 Perks (Intelligence section)</t>
        </is>
      </c>
      <c r="G161" s="12" t="n">
        <v>0</v>
      </c>
      <c r="H161" s="12" t="n">
        <v>1</v>
      </c>
      <c r="I161" s="12" t="n">
        <v>2</v>
      </c>
      <c r="J161" s="12" t="n">
        <v>2</v>
      </c>
      <c r="K161" s="12" t="n">
        <v>2</v>
      </c>
      <c r="L161" s="12" t="n">
        <v>0</v>
      </c>
      <c r="M161" s="12" t="n">
        <v>0</v>
      </c>
      <c r="N161" s="12" t="n">
        <v>0</v>
      </c>
      <c r="O161" s="12" t="n">
        <v>0</v>
      </c>
      <c r="P161" s="12" t="n">
        <v>0</v>
      </c>
    </row>
    <row r="162">
      <c r="A162" s="12" t="inlineStr">
        <is>
          <t>Gunsmith</t>
        </is>
      </c>
      <c r="B162" s="12" t="inlineStr">
        <is>
          <t>INT</t>
        </is>
      </c>
      <c r="C162" s="12" t="n">
        <v>3</v>
      </c>
      <c r="D162" s="12" t="inlineStr">
        <is>
          <t>non_combat</t>
        </is>
      </c>
      <c r="E162" s="12" t="inlineStr">
        <is>
          <t>Likely</t>
        </is>
      </c>
      <c r="F162" s="12" t="inlineStr">
        <is>
          <t>fallout.wiki - Fallout 76 Perks (Intelligence section)</t>
        </is>
      </c>
      <c r="G162" s="12" t="n">
        <v>0</v>
      </c>
      <c r="H162" s="12" t="n">
        <v>1</v>
      </c>
      <c r="I162" s="12" t="n">
        <v>2</v>
      </c>
      <c r="J162" s="12" t="n">
        <v>3</v>
      </c>
      <c r="K162" s="12" t="n">
        <v>3</v>
      </c>
      <c r="L162" s="12" t="n">
        <v>0</v>
      </c>
      <c r="M162" s="12" t="n">
        <v>0</v>
      </c>
      <c r="N162" s="12" t="n">
        <v>0</v>
      </c>
      <c r="O162" s="12" t="n">
        <v>0</v>
      </c>
      <c r="P162" s="12" t="n">
        <v>0</v>
      </c>
    </row>
    <row r="163">
      <c r="A163" s="12" t="inlineStr">
        <is>
          <t>Hacker</t>
        </is>
      </c>
      <c r="B163" s="12" t="inlineStr">
        <is>
          <t>INT</t>
        </is>
      </c>
      <c r="C163" s="12" t="n">
        <v>1</v>
      </c>
      <c r="D163" s="12" t="inlineStr">
        <is>
          <t>non_combat</t>
        </is>
      </c>
      <c r="E163" s="12" t="inlineStr">
        <is>
          <t>Likely</t>
        </is>
      </c>
      <c r="F163" s="12" t="inlineStr">
        <is>
          <t>fallout.wiki - Fallout 76 Perks (Intelligence section)</t>
        </is>
      </c>
      <c r="G163" s="12" t="n">
        <v>0</v>
      </c>
      <c r="H163" s="12" t="n">
        <v>1</v>
      </c>
      <c r="I163" s="12" t="n">
        <v>1</v>
      </c>
      <c r="J163" s="12" t="n">
        <v>1</v>
      </c>
      <c r="K163" s="12" t="n">
        <v>1</v>
      </c>
      <c r="L163" s="12" t="n">
        <v>0</v>
      </c>
      <c r="M163" s="12" t="n">
        <v>0</v>
      </c>
      <c r="N163" s="12" t="n">
        <v>0</v>
      </c>
      <c r="O163" s="12" t="n">
        <v>0</v>
      </c>
      <c r="P163" s="12" t="n">
        <v>0</v>
      </c>
    </row>
    <row r="164">
      <c r="A164" s="12" t="inlineStr">
        <is>
          <t>Licensed Plumber</t>
        </is>
      </c>
      <c r="B164" s="12" t="inlineStr">
        <is>
          <t>INT</t>
        </is>
      </c>
      <c r="C164" s="12" t="n">
        <v>3</v>
      </c>
      <c r="D164" s="12" t="inlineStr">
        <is>
          <t>non_combat</t>
        </is>
      </c>
      <c r="E164" s="12" t="inlineStr">
        <is>
          <t>Likely</t>
        </is>
      </c>
      <c r="F164" s="12" t="inlineStr">
        <is>
          <t>fallout.wiki - Fallout 76 Perks (Intelligence section)</t>
        </is>
      </c>
      <c r="G164" s="12" t="n">
        <v>0</v>
      </c>
      <c r="H164" s="12" t="n">
        <v>1</v>
      </c>
      <c r="I164" s="12" t="n">
        <v>2</v>
      </c>
      <c r="J164" s="12" t="n">
        <v>3</v>
      </c>
      <c r="K164" s="12" t="n">
        <v>3</v>
      </c>
      <c r="L164" s="12" t="n">
        <v>0</v>
      </c>
      <c r="M164" s="12" t="n">
        <v>0</v>
      </c>
      <c r="N164" s="12" t="n">
        <v>0</v>
      </c>
      <c r="O164" s="12" t="n">
        <v>0</v>
      </c>
      <c r="P164" s="12" t="n">
        <v>0</v>
      </c>
    </row>
    <row r="165">
      <c r="A165" s="12" t="inlineStr">
        <is>
          <t>Makeshift Warrior</t>
        </is>
      </c>
      <c r="B165" s="12" t="inlineStr">
        <is>
          <t>INT</t>
        </is>
      </c>
      <c r="C165" s="12" t="n">
        <v>3</v>
      </c>
      <c r="D165" s="12" t="inlineStr">
        <is>
          <t>non_combat</t>
        </is>
      </c>
      <c r="E165" s="12" t="inlineStr">
        <is>
          <t>Likely</t>
        </is>
      </c>
      <c r="F165" s="12" t="inlineStr">
        <is>
          <t>fallout.wiki - Fallout 76 Perks (Intelligence section)</t>
        </is>
      </c>
      <c r="G165" s="12" t="n">
        <v>0</v>
      </c>
      <c r="H165" s="12" t="n">
        <v>1</v>
      </c>
      <c r="I165" s="12" t="n">
        <v>2</v>
      </c>
      <c r="J165" s="12" t="n">
        <v>3</v>
      </c>
      <c r="K165" s="12" t="n">
        <v>3</v>
      </c>
      <c r="L165" s="12" t="n">
        <v>0</v>
      </c>
      <c r="M165" s="12" t="n">
        <v>0</v>
      </c>
      <c r="N165" s="12" t="n">
        <v>0</v>
      </c>
      <c r="O165" s="12" t="n">
        <v>0</v>
      </c>
      <c r="P165" s="12" t="n">
        <v>0</v>
      </c>
    </row>
    <row r="166">
      <c r="A166" s="12" t="inlineStr">
        <is>
          <t>Master Hacker</t>
        </is>
      </c>
      <c r="B166" s="12" t="inlineStr">
        <is>
          <t>INT</t>
        </is>
      </c>
      <c r="C166" s="12" t="n">
        <v>1</v>
      </c>
      <c r="D166" s="12" t="inlineStr">
        <is>
          <t>non_combat</t>
        </is>
      </c>
      <c r="E166" s="12" t="inlineStr">
        <is>
          <t>Likely</t>
        </is>
      </c>
      <c r="F166" s="12" t="inlineStr">
        <is>
          <t>fallout.wiki - Fallout 76 Perks (Intelligence section)</t>
        </is>
      </c>
      <c r="G166" s="12" t="n">
        <v>0</v>
      </c>
      <c r="H166" s="12" t="n">
        <v>1</v>
      </c>
      <c r="I166" s="12" t="n">
        <v>1</v>
      </c>
      <c r="J166" s="12" t="n">
        <v>1</v>
      </c>
      <c r="K166" s="12" t="n">
        <v>1</v>
      </c>
      <c r="L166" s="12" t="n">
        <v>0</v>
      </c>
      <c r="M166" s="12" t="n">
        <v>0</v>
      </c>
      <c r="N166" s="12" t="n">
        <v>0</v>
      </c>
      <c r="O166" s="12" t="n">
        <v>0</v>
      </c>
      <c r="P166" s="12" t="n">
        <v>0</v>
      </c>
    </row>
    <row r="167">
      <c r="A167" s="12" t="inlineStr">
        <is>
          <t>Nerd Rage!</t>
        </is>
      </c>
      <c r="B167" s="12" t="inlineStr">
        <is>
          <t>INT</t>
        </is>
      </c>
      <c r="C167" s="12" t="n">
        <v>1</v>
      </c>
      <c r="D167" s="12" t="inlineStr">
        <is>
          <t>catalogued_not_wired</t>
        </is>
      </c>
      <c r="E167" s="12" t="inlineStr">
        <is>
          <t>Likely</t>
        </is>
      </c>
      <c r="F167" s="12" t="inlineStr">
        <is>
          <t>fallout.wiki - Fallout 76 Perks (Intelligence section)</t>
        </is>
      </c>
      <c r="G167" s="12" t="n">
        <v>0</v>
      </c>
      <c r="H167" s="12" t="n">
        <v>2</v>
      </c>
      <c r="I167" s="12" t="n">
        <v>2</v>
      </c>
      <c r="J167" s="12" t="n">
        <v>2</v>
      </c>
      <c r="K167" s="12" t="n">
        <v>2</v>
      </c>
      <c r="L167" s="12" t="n">
        <v>0</v>
      </c>
      <c r="M167" s="12" t="n">
        <v>0</v>
      </c>
      <c r="N167" s="12" t="n">
        <v>0</v>
      </c>
      <c r="O167" s="12" t="n">
        <v>0</v>
      </c>
      <c r="P167" s="12" t="n">
        <v>0</v>
      </c>
    </row>
    <row r="168">
      <c r="A168" s="12" t="inlineStr">
        <is>
          <t>Pharmacist</t>
        </is>
      </c>
      <c r="B168" s="12" t="inlineStr">
        <is>
          <t>INT</t>
        </is>
      </c>
      <c r="C168" s="12" t="n">
        <v>1</v>
      </c>
      <c r="D168" s="12" t="inlineStr">
        <is>
          <t>non_combat</t>
        </is>
      </c>
      <c r="E168" s="12" t="inlineStr">
        <is>
          <t>Likely</t>
        </is>
      </c>
      <c r="F168" s="12" t="inlineStr">
        <is>
          <t>fallout.wiki - Fallout 76 Perks (Intelligence section)</t>
        </is>
      </c>
      <c r="G168" s="12" t="n">
        <v>0</v>
      </c>
      <c r="H168" s="12" t="n">
        <v>1</v>
      </c>
      <c r="I168" s="12" t="n">
        <v>1</v>
      </c>
      <c r="J168" s="12" t="n">
        <v>1</v>
      </c>
      <c r="K168" s="12" t="n">
        <v>1</v>
      </c>
      <c r="L168" s="12" t="n">
        <v>0</v>
      </c>
      <c r="M168" s="12" t="n">
        <v>0</v>
      </c>
      <c r="N168" s="12" t="n">
        <v>0</v>
      </c>
      <c r="O168" s="12" t="n">
        <v>0</v>
      </c>
      <c r="P168" s="12" t="n">
        <v>0</v>
      </c>
    </row>
    <row r="169">
      <c r="A169" s="12" t="inlineStr">
        <is>
          <t>Power Patcher</t>
        </is>
      </c>
      <c r="B169" s="12" t="inlineStr">
        <is>
          <t>INT</t>
        </is>
      </c>
      <c r="C169" s="12" t="n">
        <v>3</v>
      </c>
      <c r="D169" s="12" t="inlineStr">
        <is>
          <t>non_combat</t>
        </is>
      </c>
      <c r="E169" s="12" t="inlineStr">
        <is>
          <t>Likely</t>
        </is>
      </c>
      <c r="F169" s="12" t="inlineStr">
        <is>
          <t>fallout.wiki - Fallout 76 Perks (Intelligence section)</t>
        </is>
      </c>
      <c r="G169" s="12" t="n">
        <v>0</v>
      </c>
      <c r="H169" s="12" t="n">
        <v>1</v>
      </c>
      <c r="I169" s="12" t="n">
        <v>2</v>
      </c>
      <c r="J169" s="12" t="n">
        <v>3</v>
      </c>
      <c r="K169" s="12" t="n">
        <v>3</v>
      </c>
      <c r="L169" s="12" t="n">
        <v>0</v>
      </c>
      <c r="M169" s="12" t="n">
        <v>0</v>
      </c>
      <c r="N169" s="12" t="n">
        <v>0</v>
      </c>
      <c r="O169" s="12" t="n">
        <v>0</v>
      </c>
      <c r="P169" s="12" t="n">
        <v>0</v>
      </c>
    </row>
    <row r="170">
      <c r="A170" s="12" t="inlineStr">
        <is>
          <t>Power Smith</t>
        </is>
      </c>
      <c r="B170" s="12" t="inlineStr">
        <is>
          <t>INT</t>
        </is>
      </c>
      <c r="C170" s="12" t="n">
        <v>1</v>
      </c>
      <c r="D170" s="12" t="inlineStr">
        <is>
          <t>non_combat</t>
        </is>
      </c>
      <c r="E170" s="12" t="inlineStr">
        <is>
          <t>Likely</t>
        </is>
      </c>
      <c r="F170" s="12" t="inlineStr">
        <is>
          <t>fallout.wiki - Fallout 76 Perks (Intelligence section)</t>
        </is>
      </c>
      <c r="G170" s="12" t="n">
        <v>0</v>
      </c>
      <c r="H170" s="12" t="n">
        <v>1</v>
      </c>
      <c r="I170" s="12" t="n">
        <v>1</v>
      </c>
      <c r="J170" s="12" t="n">
        <v>1</v>
      </c>
      <c r="K170" s="12" t="n">
        <v>1</v>
      </c>
      <c r="L170" s="12" t="n">
        <v>0</v>
      </c>
      <c r="M170" s="12" t="n">
        <v>0</v>
      </c>
      <c r="N170" s="12" t="n">
        <v>0</v>
      </c>
      <c r="O170" s="12" t="n">
        <v>0</v>
      </c>
      <c r="P170" s="12" t="n">
        <v>0</v>
      </c>
    </row>
    <row r="171">
      <c r="A171" s="12" t="inlineStr">
        <is>
          <t>Power User</t>
        </is>
      </c>
      <c r="B171" s="12" t="inlineStr">
        <is>
          <t>INT</t>
        </is>
      </c>
      <c r="C171" s="12" t="n">
        <v>3</v>
      </c>
      <c r="D171" s="12" t="inlineStr">
        <is>
          <t>non_combat</t>
        </is>
      </c>
      <c r="E171" s="12" t="inlineStr">
        <is>
          <t>Likely</t>
        </is>
      </c>
      <c r="F171" s="12" t="inlineStr">
        <is>
          <t>fallout.wiki - Fallout 76 Perks (Intelligence section)</t>
        </is>
      </c>
      <c r="G171" s="12" t="n">
        <v>0</v>
      </c>
      <c r="H171" s="12" t="n">
        <v>1</v>
      </c>
      <c r="I171" s="12" t="n">
        <v>2</v>
      </c>
      <c r="J171" s="12" t="n">
        <v>3</v>
      </c>
      <c r="K171" s="12" t="n">
        <v>3</v>
      </c>
      <c r="L171" s="12" t="n">
        <v>0</v>
      </c>
      <c r="M171" s="12" t="n">
        <v>0</v>
      </c>
      <c r="N171" s="12" t="n">
        <v>0</v>
      </c>
      <c r="O171" s="12" t="n">
        <v>0</v>
      </c>
      <c r="P171" s="12" t="n">
        <v>0</v>
      </c>
    </row>
    <row r="172">
      <c r="A172" s="12" t="inlineStr">
        <is>
          <t>Pyro-Technician</t>
        </is>
      </c>
      <c r="B172" s="12" t="inlineStr">
        <is>
          <t>INT</t>
        </is>
      </c>
      <c r="C172" s="12" t="n">
        <v>1</v>
      </c>
      <c r="D172" s="12" t="inlineStr">
        <is>
          <t>catalogued_not_wired</t>
        </is>
      </c>
      <c r="E172" s="12" t="inlineStr">
        <is>
          <t>Likely</t>
        </is>
      </c>
      <c r="F172" s="12" t="inlineStr">
        <is>
          <t>fallout.wiki - Fallout 76 Perks (Intelligence section)</t>
        </is>
      </c>
      <c r="G172" s="12" t="n">
        <v>0</v>
      </c>
      <c r="H172" s="12" t="n">
        <v>2</v>
      </c>
      <c r="I172" s="12" t="n">
        <v>2</v>
      </c>
      <c r="J172" s="12" t="n">
        <v>2</v>
      </c>
      <c r="K172" s="12" t="n">
        <v>2</v>
      </c>
      <c r="L172" s="12" t="n">
        <v>0</v>
      </c>
      <c r="M172" s="12" t="n">
        <v>0</v>
      </c>
      <c r="N172" s="12" t="n">
        <v>0</v>
      </c>
      <c r="O172" s="12" t="n">
        <v>0</v>
      </c>
      <c r="P172" s="12" t="n">
        <v>0</v>
      </c>
    </row>
    <row r="173">
      <c r="A173" s="12" t="inlineStr">
        <is>
          <t>Robotics Expert</t>
        </is>
      </c>
      <c r="B173" s="12" t="inlineStr">
        <is>
          <t>INT</t>
        </is>
      </c>
      <c r="C173" s="12" t="n">
        <v>3</v>
      </c>
      <c r="D173" s="12" t="inlineStr">
        <is>
          <t>non_combat</t>
        </is>
      </c>
      <c r="E173" s="12" t="inlineStr">
        <is>
          <t>Likely</t>
        </is>
      </c>
      <c r="F173" s="12" t="inlineStr">
        <is>
          <t>fallout.wiki - Fallout 76 Perks (Intelligence section)</t>
        </is>
      </c>
      <c r="G173" s="12" t="n">
        <v>0</v>
      </c>
      <c r="H173" s="12" t="n">
        <v>1</v>
      </c>
      <c r="I173" s="12" t="n">
        <v>2</v>
      </c>
      <c r="J173" s="12" t="n">
        <v>3</v>
      </c>
      <c r="K173" s="12" t="n">
        <v>3</v>
      </c>
      <c r="L173" s="12" t="n">
        <v>0</v>
      </c>
      <c r="M173" s="12" t="n">
        <v>0</v>
      </c>
      <c r="N173" s="12" t="n">
        <v>0</v>
      </c>
      <c r="O173" s="12" t="n">
        <v>0</v>
      </c>
      <c r="P173" s="12" t="n">
        <v>0</v>
      </c>
    </row>
    <row r="174">
      <c r="A174" s="12" t="inlineStr">
        <is>
          <t>Science!</t>
        </is>
      </c>
      <c r="B174" s="12" t="inlineStr">
        <is>
          <t>INT</t>
        </is>
      </c>
      <c r="C174" s="12" t="n">
        <v>1</v>
      </c>
      <c r="D174" s="12" t="inlineStr">
        <is>
          <t>catalogued_not_wired</t>
        </is>
      </c>
      <c r="E174" s="12" t="inlineStr">
        <is>
          <t>Confirmed</t>
        </is>
      </c>
      <c r="F174" s="12" t="inlineStr">
        <is>
          <t>fallout.wiki - Science! (Fallout 76), individually verified</t>
        </is>
      </c>
      <c r="G174" s="12" t="n">
        <v>0</v>
      </c>
      <c r="H174" s="12" t="n">
        <v>2</v>
      </c>
      <c r="I174" s="12" t="n">
        <v>2</v>
      </c>
      <c r="J174" s="12" t="n">
        <v>2</v>
      </c>
      <c r="K174" s="12" t="n">
        <v>2</v>
      </c>
      <c r="L174" s="12" t="n">
        <v>0</v>
      </c>
      <c r="M174" s="12" t="n">
        <v>0</v>
      </c>
      <c r="N174" s="12" t="n">
        <v>0</v>
      </c>
      <c r="O174" s="12" t="n">
        <v>0</v>
      </c>
      <c r="P174" s="12" t="n">
        <v>0</v>
      </c>
    </row>
    <row r="175">
      <c r="A175" s="12" t="inlineStr">
        <is>
          <t>Scrapper</t>
        </is>
      </c>
      <c r="B175" s="12" t="inlineStr">
        <is>
          <t>INT</t>
        </is>
      </c>
      <c r="C175" s="12" t="n">
        <v>1</v>
      </c>
      <c r="D175" s="12" t="inlineStr">
        <is>
          <t>non_combat</t>
        </is>
      </c>
      <c r="E175" s="12" t="inlineStr">
        <is>
          <t>Likely</t>
        </is>
      </c>
      <c r="F175" s="12" t="inlineStr">
        <is>
          <t>fallout.wiki - Fallout 76 Perks (Intelligence section)</t>
        </is>
      </c>
      <c r="G175" s="12" t="n">
        <v>0</v>
      </c>
      <c r="H175" s="12" t="n">
        <v>1</v>
      </c>
      <c r="I175" s="12" t="n">
        <v>1</v>
      </c>
      <c r="J175" s="12" t="n">
        <v>1</v>
      </c>
      <c r="K175" s="12" t="n">
        <v>1</v>
      </c>
      <c r="L175" s="12" t="n">
        <v>0</v>
      </c>
      <c r="M175" s="12" t="n">
        <v>0</v>
      </c>
      <c r="N175" s="12" t="n">
        <v>0</v>
      </c>
      <c r="O175" s="12" t="n">
        <v>0</v>
      </c>
      <c r="P175" s="12" t="n">
        <v>0</v>
      </c>
    </row>
    <row r="176">
      <c r="A176" s="12" t="inlineStr">
        <is>
          <t>Stabilized</t>
        </is>
      </c>
      <c r="B176" s="12" t="inlineStr">
        <is>
          <t>INT</t>
        </is>
      </c>
      <c r="C176" s="12" t="n">
        <v>1</v>
      </c>
      <c r="D176" s="12" t="inlineStr">
        <is>
          <t>catalogued_not_wired</t>
        </is>
      </c>
      <c r="E176" s="12" t="inlineStr">
        <is>
          <t>Confirmed</t>
        </is>
      </c>
      <c r="F176" s="12" t="inlineStr">
        <is>
          <t>nukaknights.com Patch 62/PTS changelog; fallout.wiki section fetch</t>
        </is>
      </c>
      <c r="G176" s="12" t="n">
        <v>0</v>
      </c>
      <c r="H176" s="12" t="n">
        <v>2</v>
      </c>
      <c r="I176" s="12" t="n">
        <v>2</v>
      </c>
      <c r="J176" s="12" t="n">
        <v>2</v>
      </c>
      <c r="K176" s="12" t="n">
        <v>2</v>
      </c>
      <c r="L176" s="12" t="n">
        <v>0</v>
      </c>
      <c r="M176" s="12" t="n">
        <v>0</v>
      </c>
      <c r="N176" s="12" t="n">
        <v>0</v>
      </c>
      <c r="O176" s="12" t="n">
        <v>0</v>
      </c>
      <c r="P176" s="12" t="n">
        <v>0</v>
      </c>
    </row>
    <row r="177">
      <c r="A177" s="12" t="inlineStr">
        <is>
          <t>Stable Tools</t>
        </is>
      </c>
      <c r="B177" s="12" t="inlineStr">
        <is>
          <t>INT</t>
        </is>
      </c>
      <c r="C177" s="12" t="n">
        <v>3</v>
      </c>
      <c r="D177" s="12" t="inlineStr">
        <is>
          <t>non_combat</t>
        </is>
      </c>
      <c r="E177" s="12" t="inlineStr">
        <is>
          <t>Likely</t>
        </is>
      </c>
      <c r="F177" s="12" t="inlineStr">
        <is>
          <t>fallout.wiki - Fallout 76 Perks (Intelligence section)</t>
        </is>
      </c>
      <c r="G177" s="12" t="n">
        <v>0</v>
      </c>
      <c r="H177" s="12" t="n">
        <v>1</v>
      </c>
      <c r="I177" s="12" t="n">
        <v>2</v>
      </c>
      <c r="J177" s="12" t="n">
        <v>3</v>
      </c>
      <c r="K177" s="12" t="n">
        <v>3</v>
      </c>
      <c r="L177" s="12" t="n">
        <v>0</v>
      </c>
      <c r="M177" s="12" t="n">
        <v>0</v>
      </c>
      <c r="N177" s="12" t="n">
        <v>0</v>
      </c>
      <c r="O177" s="12" t="n">
        <v>0</v>
      </c>
      <c r="P177" s="12" t="n">
        <v>0</v>
      </c>
    </row>
    <row r="178">
      <c r="A178" s="12" t="inlineStr">
        <is>
          <t>Weapon Artisan</t>
        </is>
      </c>
      <c r="B178" s="12" t="inlineStr">
        <is>
          <t>INT</t>
        </is>
      </c>
      <c r="C178" s="12" t="n">
        <v>3</v>
      </c>
      <c r="D178" s="12" t="inlineStr">
        <is>
          <t>non_combat</t>
        </is>
      </c>
      <c r="E178" s="12" t="inlineStr">
        <is>
          <t>Likely</t>
        </is>
      </c>
      <c r="F178" s="12" t="inlineStr">
        <is>
          <t>fallout.wiki - Fallout 76 Perks (Intelligence section)</t>
        </is>
      </c>
      <c r="G178" s="12" t="n">
        <v>0</v>
      </c>
      <c r="H178" s="12" t="n">
        <v>1</v>
      </c>
      <c r="I178" s="12" t="n">
        <v>2</v>
      </c>
      <c r="J178" s="12" t="n">
        <v>3</v>
      </c>
      <c r="K178" s="12" t="n">
        <v>3</v>
      </c>
      <c r="L178" s="12" t="n">
        <v>0</v>
      </c>
      <c r="M178" s="12" t="n">
        <v>0</v>
      </c>
      <c r="N178" s="12" t="n">
        <v>0</v>
      </c>
      <c r="O178" s="12" t="n">
        <v>0</v>
      </c>
      <c r="P178" s="12" t="n">
        <v>0</v>
      </c>
    </row>
    <row r="179">
      <c r="A179" s="12" t="inlineStr">
        <is>
          <t>White Knight</t>
        </is>
      </c>
      <c r="B179" s="12" t="inlineStr">
        <is>
          <t>INT</t>
        </is>
      </c>
      <c r="C179" s="12" t="n">
        <v>3</v>
      </c>
      <c r="D179" s="12" t="inlineStr">
        <is>
          <t>non_combat</t>
        </is>
      </c>
      <c r="E179" s="12" t="inlineStr">
        <is>
          <t>Likely</t>
        </is>
      </c>
      <c r="F179" s="12" t="inlineStr">
        <is>
          <t>fallout.wiki - Fallout 76 Perks (Intelligence section)</t>
        </is>
      </c>
      <c r="G179" s="12" t="n">
        <v>0</v>
      </c>
      <c r="H179" s="12" t="n">
        <v>1</v>
      </c>
      <c r="I179" s="12" t="n">
        <v>2</v>
      </c>
      <c r="J179" s="12" t="n">
        <v>3</v>
      </c>
      <c r="K179" s="12" t="n">
        <v>3</v>
      </c>
      <c r="L179" s="12" t="n">
        <v>0</v>
      </c>
      <c r="M179" s="12" t="n">
        <v>0</v>
      </c>
      <c r="N179" s="12" t="n">
        <v>0</v>
      </c>
      <c r="O179" s="12" t="n">
        <v>0</v>
      </c>
      <c r="P179" s="12" t="n">
        <v>0</v>
      </c>
    </row>
    <row r="180">
      <c r="A180" s="12" t="inlineStr">
        <is>
          <t>Bomb Scientist</t>
        </is>
      </c>
      <c r="B180" s="12" t="inlineStr">
        <is>
          <t>INT</t>
        </is>
      </c>
      <c r="C180" s="12" t="n">
        <v>3</v>
      </c>
      <c r="D180" s="12" t="inlineStr">
        <is>
          <t>catalogued_not_wired</t>
        </is>
      </c>
      <c r="E180" s="12" t="inlineStr">
        <is>
          <t>Likely</t>
        </is>
      </c>
      <c r="F180" s="12" t="inlineStr">
        <is>
          <t>fallout.wiki - Fallout 76 Perks (Ghoul Intelligence section)</t>
        </is>
      </c>
      <c r="G180" s="12" t="n">
        <v>0</v>
      </c>
      <c r="H180" s="12" t="n">
        <v>1</v>
      </c>
      <c r="I180" s="12" t="n">
        <v>2</v>
      </c>
      <c r="J180" s="12" t="n">
        <v>3</v>
      </c>
      <c r="K180" s="12" t="n">
        <v>3</v>
      </c>
      <c r="L180" s="12" t="n">
        <v>0</v>
      </c>
      <c r="M180" s="12" t="n">
        <v>0</v>
      </c>
      <c r="N180" s="12" t="n">
        <v>0</v>
      </c>
      <c r="O180" s="12" t="n">
        <v>0</v>
      </c>
      <c r="P180" s="12" t="n">
        <v>0</v>
      </c>
    </row>
    <row r="181">
      <c r="A181" s="12" t="inlineStr">
        <is>
          <t>Mad Scientist</t>
        </is>
      </c>
      <c r="B181" s="12" t="inlineStr">
        <is>
          <t>INT</t>
        </is>
      </c>
      <c r="C181" s="12" t="n">
        <v>3</v>
      </c>
      <c r="D181" s="12" t="inlineStr">
        <is>
          <t>catalogued_not_wired</t>
        </is>
      </c>
      <c r="E181" s="12" t="inlineStr">
        <is>
          <t>Likely</t>
        </is>
      </c>
      <c r="F181" s="12" t="inlineStr">
        <is>
          <t>fallout.wiki - Fallout 76 Perks (Ghoul Intelligence section)</t>
        </is>
      </c>
      <c r="G181" s="12" t="n">
        <v>0</v>
      </c>
      <c r="H181" s="12" t="n">
        <v>1</v>
      </c>
      <c r="I181" s="12" t="n">
        <v>2</v>
      </c>
      <c r="J181" s="12" t="n">
        <v>3</v>
      </c>
      <c r="K181" s="12" t="n">
        <v>3</v>
      </c>
      <c r="L181" s="12" t="n">
        <v>0</v>
      </c>
      <c r="M181" s="12" t="n">
        <v>0</v>
      </c>
      <c r="N181" s="12" t="n">
        <v>0</v>
      </c>
      <c r="O181" s="12" t="n">
        <v>0</v>
      </c>
      <c r="P181" s="12" t="n">
        <v>0</v>
      </c>
    </row>
    <row r="182">
      <c r="A182" s="12" t="inlineStr">
        <is>
          <t>Rad Specialist</t>
        </is>
      </c>
      <c r="B182" s="12" t="inlineStr">
        <is>
          <t>INT</t>
        </is>
      </c>
      <c r="C182" s="12" t="n">
        <v>3</v>
      </c>
      <c r="D182" s="12" t="inlineStr">
        <is>
          <t>non_combat</t>
        </is>
      </c>
      <c r="E182" s="12" t="inlineStr">
        <is>
          <t>Likely</t>
        </is>
      </c>
      <c r="F182" s="12" t="inlineStr">
        <is>
          <t>fallout.wiki - Fallout 76 Perks (Ghoul Intelligence section)</t>
        </is>
      </c>
      <c r="G182" s="12" t="n">
        <v>0</v>
      </c>
      <c r="H182" s="12" t="n">
        <v>1</v>
      </c>
      <c r="I182" s="12" t="n">
        <v>2</v>
      </c>
      <c r="J182" s="12" t="n">
        <v>3</v>
      </c>
      <c r="K182" s="12" t="n">
        <v>3</v>
      </c>
      <c r="L182" s="12" t="n">
        <v>0</v>
      </c>
      <c r="M182" s="12" t="n">
        <v>0</v>
      </c>
      <c r="N182" s="12" t="n">
        <v>0</v>
      </c>
      <c r="O182" s="12" t="n">
        <v>0</v>
      </c>
      <c r="P182" s="12" t="n">
        <v>0</v>
      </c>
    </row>
    <row r="183">
      <c r="A183" s="12" t="inlineStr">
        <is>
          <t>Science Monster</t>
        </is>
      </c>
      <c r="B183" s="12" t="inlineStr">
        <is>
          <t>INT</t>
        </is>
      </c>
      <c r="C183" s="12" t="n">
        <v>3</v>
      </c>
      <c r="D183" s="12" t="inlineStr">
        <is>
          <t>catalogued_not_wired</t>
        </is>
      </c>
      <c r="E183" s="12" t="inlineStr">
        <is>
          <t>Likely</t>
        </is>
      </c>
      <c r="F183" s="12" t="inlineStr">
        <is>
          <t>fallout.wiki - Fallout 76 Perks (Ghoul Intelligence section)</t>
        </is>
      </c>
      <c r="G183" s="12" t="n">
        <v>0</v>
      </c>
      <c r="H183" s="12" t="n">
        <v>1</v>
      </c>
      <c r="I183" s="12" t="n">
        <v>2</v>
      </c>
      <c r="J183" s="12" t="n">
        <v>3</v>
      </c>
      <c r="K183" s="12" t="n">
        <v>3</v>
      </c>
      <c r="L183" s="12" t="n">
        <v>0</v>
      </c>
      <c r="M183" s="12" t="n">
        <v>0</v>
      </c>
      <c r="N183" s="12" t="n">
        <v>0</v>
      </c>
      <c r="O183" s="12" t="n">
        <v>0</v>
      </c>
      <c r="P183" s="12" t="n">
        <v>0</v>
      </c>
    </row>
    <row r="184">
      <c r="A184" s="12" t="inlineStr">
        <is>
          <t>Action Boy</t>
        </is>
      </c>
      <c r="B184" s="12" t="inlineStr">
        <is>
          <t>AGI</t>
        </is>
      </c>
      <c r="C184" s="12" t="n">
        <v>3</v>
      </c>
      <c r="D184" s="12" t="inlineStr">
        <is>
          <t>catalogued_not_wired</t>
        </is>
      </c>
      <c r="E184" s="12" t="inlineStr">
        <is>
          <t>Likely</t>
        </is>
      </c>
      <c r="F184" s="12" t="inlineStr">
        <is>
          <t>fallout.wiki - Fallout 76 Perks (Agility section)</t>
        </is>
      </c>
      <c r="G184" s="12" t="n">
        <v>0</v>
      </c>
      <c r="H184" s="12" t="n">
        <v>1</v>
      </c>
      <c r="I184" s="12" t="n">
        <v>2</v>
      </c>
      <c r="J184" s="12" t="n">
        <v>3</v>
      </c>
      <c r="K184" s="12" t="n">
        <v>3</v>
      </c>
      <c r="L184" s="12" t="n">
        <v>0</v>
      </c>
      <c r="M184" s="12" t="n">
        <v>0</v>
      </c>
      <c r="N184" s="12" t="n">
        <v>0</v>
      </c>
      <c r="O184" s="12" t="n">
        <v>0</v>
      </c>
      <c r="P184" s="12" t="n">
        <v>0</v>
      </c>
    </row>
    <row r="185">
      <c r="A185" s="12" t="inlineStr">
        <is>
          <t>Action Girl</t>
        </is>
      </c>
      <c r="B185" s="12" t="inlineStr">
        <is>
          <t>AGI</t>
        </is>
      </c>
      <c r="C185" s="12" t="n">
        <v>3</v>
      </c>
      <c r="D185" s="12" t="inlineStr">
        <is>
          <t>catalogued_not_wired</t>
        </is>
      </c>
      <c r="E185" s="12" t="inlineStr">
        <is>
          <t>Likely</t>
        </is>
      </c>
      <c r="F185" s="12" t="inlineStr">
        <is>
          <t>fallout.wiki - Fallout 76 Perks (Agility section)</t>
        </is>
      </c>
      <c r="G185" s="12" t="n">
        <v>0</v>
      </c>
      <c r="H185" s="12" t="n">
        <v>1</v>
      </c>
      <c r="I185" s="12" t="n">
        <v>2</v>
      </c>
      <c r="J185" s="12" t="n">
        <v>3</v>
      </c>
      <c r="K185" s="12" t="n">
        <v>3</v>
      </c>
      <c r="L185" s="12" t="n">
        <v>0</v>
      </c>
      <c r="M185" s="12" t="n">
        <v>0</v>
      </c>
      <c r="N185" s="12" t="n">
        <v>0</v>
      </c>
      <c r="O185" s="12" t="n">
        <v>0</v>
      </c>
      <c r="P185" s="12" t="n">
        <v>0</v>
      </c>
    </row>
    <row r="186">
      <c r="A186" s="12" t="inlineStr">
        <is>
          <t>Adrenaline</t>
        </is>
      </c>
      <c r="B186" s="12" t="inlineStr">
        <is>
          <t>AGI</t>
        </is>
      </c>
      <c r="C186" s="12" t="n">
        <v>1</v>
      </c>
      <c r="D186" s="12" t="inlineStr">
        <is>
          <t>dmg_general_per_killstreak_stack</t>
        </is>
      </c>
      <c r="E186" s="12" t="inlineStr">
        <is>
          <t>Confirmed</t>
        </is>
      </c>
      <c r="F186" s="12" t="inlineStr">
        <is>
          <t>fallout.wiki - Fallout 76 Perks (Agility section) (cross-checked this session)</t>
        </is>
      </c>
      <c r="G186" s="12" t="n">
        <v>0</v>
      </c>
      <c r="H186" s="12" t="n">
        <v>2</v>
      </c>
      <c r="I186" s="12" t="n">
        <v>2</v>
      </c>
      <c r="J186" s="12" t="n">
        <v>2</v>
      </c>
      <c r="K186" s="12" t="n">
        <v>2</v>
      </c>
      <c r="L186" s="12" t="n">
        <v>0</v>
      </c>
      <c r="M186" s="12" t="n">
        <v>0.1</v>
      </c>
      <c r="N186" s="12" t="n">
        <v>0</v>
      </c>
      <c r="O186" s="12" t="n">
        <v>0</v>
      </c>
      <c r="P186" s="12" t="n">
        <v>0</v>
      </c>
    </row>
    <row r="187">
      <c r="A187" s="12" t="inlineStr">
        <is>
          <t>Ammosmith</t>
        </is>
      </c>
      <c r="B187" s="12" t="inlineStr">
        <is>
          <t>AGI</t>
        </is>
      </c>
      <c r="C187" s="12" t="n">
        <v>2</v>
      </c>
      <c r="D187" s="12" t="inlineStr">
        <is>
          <t>catalogued_not_wired</t>
        </is>
      </c>
      <c r="E187" s="12" t="inlineStr">
        <is>
          <t>Likely</t>
        </is>
      </c>
      <c r="F187" s="12" t="inlineStr">
        <is>
          <t>fallout.wiki - Fallout 76 Perks (Agility section)</t>
        </is>
      </c>
      <c r="G187" s="12" t="n">
        <v>0</v>
      </c>
      <c r="H187" s="12" t="n">
        <v>1</v>
      </c>
      <c r="I187" s="12" t="n">
        <v>2</v>
      </c>
      <c r="J187" s="12" t="n">
        <v>2</v>
      </c>
      <c r="K187" s="12" t="n">
        <v>2</v>
      </c>
      <c r="L187" s="12" t="n">
        <v>0</v>
      </c>
      <c r="M187" s="12" t="n">
        <v>0</v>
      </c>
      <c r="N187" s="12" t="n">
        <v>0</v>
      </c>
      <c r="O187" s="12" t="n">
        <v>0</v>
      </c>
      <c r="P187" s="12" t="n">
        <v>0</v>
      </c>
    </row>
    <row r="188">
      <c r="A188" s="12" t="inlineStr">
        <is>
          <t>Born Survivor</t>
        </is>
      </c>
      <c r="B188" s="12" t="inlineStr">
        <is>
          <t>AGI</t>
        </is>
      </c>
      <c r="C188" s="12" t="n">
        <v>3</v>
      </c>
      <c r="D188" s="12" t="inlineStr">
        <is>
          <t>non_combat</t>
        </is>
      </c>
      <c r="E188" s="12" t="inlineStr">
        <is>
          <t>Likely</t>
        </is>
      </c>
      <c r="F188" s="12" t="inlineStr">
        <is>
          <t>fallout.wiki - Fallout 76 Perks (Agility section)</t>
        </is>
      </c>
      <c r="G188" s="12" t="n">
        <v>0</v>
      </c>
      <c r="H188" s="12" t="n">
        <v>1</v>
      </c>
      <c r="I188" s="12" t="n">
        <v>2</v>
      </c>
      <c r="J188" s="12" t="n">
        <v>3</v>
      </c>
      <c r="K188" s="12" t="n">
        <v>3</v>
      </c>
      <c r="L188" s="12" t="n">
        <v>0</v>
      </c>
      <c r="M188" s="12" t="n">
        <v>0</v>
      </c>
      <c r="N188" s="12" t="n">
        <v>0</v>
      </c>
      <c r="O188" s="12" t="n">
        <v>0</v>
      </c>
      <c r="P188" s="12" t="n">
        <v>0</v>
      </c>
    </row>
    <row r="189">
      <c r="A189" s="12" t="inlineStr">
        <is>
          <t>Covert Operative</t>
        </is>
      </c>
      <c r="B189" s="12" t="inlineStr">
        <is>
          <t>AGI</t>
        </is>
      </c>
      <c r="C189" s="12" t="n">
        <v>3</v>
      </c>
      <c r="D189" s="12" t="inlineStr">
        <is>
          <t>catalogued_not_wired</t>
        </is>
      </c>
      <c r="E189" s="12" t="inlineStr">
        <is>
          <t>Confirmed</t>
        </is>
      </c>
      <c r="F189" s="12" t="inlineStr">
        <is>
          <t>fallout.wiki - Covert Operative, individually verified</t>
        </is>
      </c>
      <c r="G189" s="12" t="n">
        <v>0</v>
      </c>
      <c r="H189" s="12" t="n">
        <v>1</v>
      </c>
      <c r="I189" s="12" t="n">
        <v>2</v>
      </c>
      <c r="J189" s="12" t="n">
        <v>3</v>
      </c>
      <c r="K189" s="12" t="n">
        <v>3</v>
      </c>
      <c r="L189" s="12" t="n">
        <v>0</v>
      </c>
      <c r="M189" s="12" t="n">
        <v>0</v>
      </c>
      <c r="N189" s="12" t="n">
        <v>0</v>
      </c>
      <c r="O189" s="12" t="n">
        <v>0</v>
      </c>
      <c r="P189" s="12" t="n">
        <v>0</v>
      </c>
    </row>
    <row r="190">
      <c r="A190" s="12" t="inlineStr">
        <is>
          <t>Dead Man Sprinting</t>
        </is>
      </c>
      <c r="B190" s="12" t="inlineStr">
        <is>
          <t>AGI</t>
        </is>
      </c>
      <c r="C190" s="12" t="n">
        <v>2</v>
      </c>
      <c r="D190" s="12" t="inlineStr">
        <is>
          <t>non_combat</t>
        </is>
      </c>
      <c r="E190" s="12" t="inlineStr">
        <is>
          <t>Likely</t>
        </is>
      </c>
      <c r="F190" s="12" t="inlineStr">
        <is>
          <t>fallout.wiki - Fallout 76 Perks (Agility section)</t>
        </is>
      </c>
      <c r="G190" s="12" t="n">
        <v>0</v>
      </c>
      <c r="H190" s="12" t="n">
        <v>1</v>
      </c>
      <c r="I190" s="12" t="n">
        <v>2</v>
      </c>
      <c r="J190" s="12" t="n">
        <v>2</v>
      </c>
      <c r="K190" s="12" t="n">
        <v>2</v>
      </c>
      <c r="L190" s="12" t="n">
        <v>0</v>
      </c>
      <c r="M190" s="12" t="n">
        <v>0</v>
      </c>
      <c r="N190" s="12" t="n">
        <v>0</v>
      </c>
      <c r="O190" s="12" t="n">
        <v>0</v>
      </c>
      <c r="P190" s="12" t="n">
        <v>0</v>
      </c>
    </row>
    <row r="191">
      <c r="A191" s="12" t="inlineStr">
        <is>
          <t>Dodgy</t>
        </is>
      </c>
      <c r="B191" s="12" t="inlineStr">
        <is>
          <t>AGI</t>
        </is>
      </c>
      <c r="C191" s="12" t="n">
        <v>1</v>
      </c>
      <c r="D191" s="12" t="inlineStr">
        <is>
          <t>catalogued_not_wired</t>
        </is>
      </c>
      <c r="E191" s="12" t="inlineStr">
        <is>
          <t>Likely</t>
        </is>
      </c>
      <c r="F191" s="12" t="inlineStr">
        <is>
          <t>fallout.wiki - Fallout 76 Perks (Agility section)</t>
        </is>
      </c>
      <c r="G191" s="12" t="n">
        <v>0</v>
      </c>
      <c r="H191" s="12" t="n">
        <v>1</v>
      </c>
      <c r="I191" s="12" t="n">
        <v>1</v>
      </c>
      <c r="J191" s="12" t="n">
        <v>1</v>
      </c>
      <c r="K191" s="12" t="n">
        <v>1</v>
      </c>
      <c r="L191" s="12" t="n">
        <v>0</v>
      </c>
      <c r="M191" s="12" t="n">
        <v>0</v>
      </c>
      <c r="N191" s="12" t="n">
        <v>0</v>
      </c>
      <c r="O191" s="12" t="n">
        <v>0</v>
      </c>
      <c r="P191" s="12" t="n">
        <v>0</v>
      </c>
    </row>
    <row r="192">
      <c r="A192" s="12" t="inlineStr">
        <is>
          <t>Enforcer</t>
        </is>
      </c>
      <c r="B192" s="12" t="inlineStr">
        <is>
          <t>AGI</t>
        </is>
      </c>
      <c r="C192" s="12" t="n">
        <v>3</v>
      </c>
      <c r="D192" s="12" t="inlineStr">
        <is>
          <t>limb_health_dmg_pct</t>
        </is>
      </c>
      <c r="E192" s="12" t="inlineStr">
        <is>
          <t>Confirmed</t>
        </is>
      </c>
      <c r="F192" s="12" t="inlineStr">
        <is>
          <t>fallout.wiki - Fallout 76 Perks (Agility section) (cross-checked this session)</t>
        </is>
      </c>
      <c r="G192" s="12" t="n">
        <v>0</v>
      </c>
      <c r="H192" s="12" t="n">
        <v>1</v>
      </c>
      <c r="I192" s="12" t="n">
        <v>2</v>
      </c>
      <c r="J192" s="12" t="n">
        <v>3</v>
      </c>
      <c r="K192" s="12" t="n">
        <v>3</v>
      </c>
      <c r="L192" s="12" t="n">
        <v>0</v>
      </c>
      <c r="M192" s="12" t="n">
        <v>0.25</v>
      </c>
      <c r="N192" s="12" t="n">
        <v>0.5</v>
      </c>
      <c r="O192" s="12" t="n">
        <v>0.75</v>
      </c>
      <c r="P192" s="12" t="n">
        <v>0</v>
      </c>
    </row>
    <row r="193">
      <c r="A193" s="12" t="inlineStr">
        <is>
          <t>Escape Artist</t>
        </is>
      </c>
      <c r="B193" s="12" t="inlineStr">
        <is>
          <t>AGI</t>
        </is>
      </c>
      <c r="C193" s="12" t="n">
        <v>1</v>
      </c>
      <c r="D193" s="12" t="inlineStr">
        <is>
          <t>non_combat</t>
        </is>
      </c>
      <c r="E193" s="12" t="inlineStr">
        <is>
          <t>Likely</t>
        </is>
      </c>
      <c r="F193" s="12" t="inlineStr">
        <is>
          <t>fallout.wiki - Fallout 76 Perks (Agility section)</t>
        </is>
      </c>
      <c r="G193" s="12" t="n">
        <v>0</v>
      </c>
      <c r="H193" s="12" t="n">
        <v>1</v>
      </c>
      <c r="I193" s="12" t="n">
        <v>1</v>
      </c>
      <c r="J193" s="12" t="n">
        <v>1</v>
      </c>
      <c r="K193" s="12" t="n">
        <v>1</v>
      </c>
      <c r="L193" s="12" t="n">
        <v>0</v>
      </c>
      <c r="M193" s="12" t="n">
        <v>0</v>
      </c>
      <c r="N193" s="12" t="n">
        <v>0</v>
      </c>
      <c r="O193" s="12" t="n">
        <v>0</v>
      </c>
      <c r="P193" s="12" t="n">
        <v>0</v>
      </c>
    </row>
    <row r="194">
      <c r="A194" s="12" t="inlineStr">
        <is>
          <t>Evasive</t>
        </is>
      </c>
      <c r="B194" s="12" t="inlineStr">
        <is>
          <t>AGI</t>
        </is>
      </c>
      <c r="C194" s="12" t="n">
        <v>1</v>
      </c>
      <c r="D194" s="12" t="inlineStr">
        <is>
          <t>catalogued_not_wired</t>
        </is>
      </c>
      <c r="E194" s="12" t="inlineStr">
        <is>
          <t>Likely</t>
        </is>
      </c>
      <c r="F194" s="12" t="inlineStr">
        <is>
          <t>fallout.wiki - Fallout 76 Perks (Agility section)</t>
        </is>
      </c>
      <c r="G194" s="12" t="n">
        <v>0</v>
      </c>
      <c r="H194" s="12" t="n">
        <v>1</v>
      </c>
      <c r="I194" s="12" t="n">
        <v>1</v>
      </c>
      <c r="J194" s="12" t="n">
        <v>1</v>
      </c>
      <c r="K194" s="12" t="n">
        <v>1</v>
      </c>
      <c r="L194" s="12" t="n">
        <v>0</v>
      </c>
      <c r="M194" s="12" t="n">
        <v>0</v>
      </c>
      <c r="N194" s="12" t="n">
        <v>0</v>
      </c>
      <c r="O194" s="12" t="n">
        <v>0</v>
      </c>
      <c r="P194" s="12" t="n">
        <v>0</v>
      </c>
    </row>
    <row r="195">
      <c r="A195" s="12" t="inlineStr">
        <is>
          <t>Goat Legs</t>
        </is>
      </c>
      <c r="B195" s="12" t="inlineStr">
        <is>
          <t>AGI</t>
        </is>
      </c>
      <c r="C195" s="12" t="n">
        <v>1</v>
      </c>
      <c r="D195" s="12" t="inlineStr">
        <is>
          <t>non_combat</t>
        </is>
      </c>
      <c r="E195" s="12" t="inlineStr">
        <is>
          <t>Likely</t>
        </is>
      </c>
      <c r="F195" s="12" t="inlineStr">
        <is>
          <t>fallout.wiki - Fallout 76 Perks (Agility section)</t>
        </is>
      </c>
      <c r="G195" s="12" t="n">
        <v>0</v>
      </c>
      <c r="H195" s="12" t="n">
        <v>1</v>
      </c>
      <c r="I195" s="12" t="n">
        <v>1</v>
      </c>
      <c r="J195" s="12" t="n">
        <v>1</v>
      </c>
      <c r="K195" s="12" t="n">
        <v>1</v>
      </c>
      <c r="L195" s="12" t="n">
        <v>0</v>
      </c>
      <c r="M195" s="12" t="n">
        <v>0</v>
      </c>
      <c r="N195" s="12" t="n">
        <v>0</v>
      </c>
      <c r="O195" s="12" t="n">
        <v>0</v>
      </c>
      <c r="P195" s="12" t="n">
        <v>0</v>
      </c>
    </row>
    <row r="196">
      <c r="A196" s="12" t="inlineStr">
        <is>
          <t>Guerrilla</t>
        </is>
      </c>
      <c r="B196" s="12" t="inlineStr">
        <is>
          <t>AGI</t>
        </is>
      </c>
      <c r="C196" s="12" t="n">
        <v>3</v>
      </c>
      <c r="D196" s="12" t="inlineStr">
        <is>
          <t>dmg_general_close_range_only</t>
        </is>
      </c>
      <c r="E196" s="12" t="inlineStr">
        <is>
          <t>Confirmed</t>
        </is>
      </c>
      <c r="F196" s="12" t="inlineStr">
        <is>
          <t>fallout.wiki - Guerrilla (Fallout 76), individually verified; WebSearch cross-check (Update 58 rework)</t>
        </is>
      </c>
      <c r="G196" s="12" t="n">
        <v>0</v>
      </c>
      <c r="H196" s="12" t="n">
        <v>1</v>
      </c>
      <c r="I196" s="12" t="n">
        <v>2</v>
      </c>
      <c r="J196" s="12" t="n">
        <v>3</v>
      </c>
      <c r="K196" s="12" t="n">
        <v>3</v>
      </c>
      <c r="L196" s="12" t="n">
        <v>0</v>
      </c>
      <c r="M196" s="12" t="n">
        <v>0.1</v>
      </c>
      <c r="N196" s="12" t="n">
        <v>0.15</v>
      </c>
      <c r="O196" s="12" t="n">
        <v>0.2</v>
      </c>
      <c r="P196" s="12" t="n">
        <v>0</v>
      </c>
    </row>
    <row r="197">
      <c r="A197" s="12" t="inlineStr">
        <is>
          <t>Guerrilla Expert</t>
        </is>
      </c>
      <c r="B197" s="12" t="inlineStr">
        <is>
          <t>AGI</t>
        </is>
      </c>
      <c r="C197" s="12" t="n">
        <v>1</v>
      </c>
      <c r="D197" s="12" t="inlineStr">
        <is>
          <t>reload_speed_per_onslaught_stack</t>
        </is>
      </c>
      <c r="E197" s="12" t="inlineStr">
        <is>
          <t>Confirmed</t>
        </is>
      </c>
      <c r="F197" s="12" t="inlineStr">
        <is>
          <t>fallout.wiki - Guerrilla Expert, individually verified (cross-checked this session)</t>
        </is>
      </c>
      <c r="G197" s="12" t="n">
        <v>0</v>
      </c>
      <c r="H197" s="12" t="n">
        <v>2</v>
      </c>
      <c r="I197" s="12" t="n">
        <v>2</v>
      </c>
      <c r="J197" s="12" t="n">
        <v>2</v>
      </c>
      <c r="K197" s="12" t="n">
        <v>2</v>
      </c>
      <c r="L197" s="12" t="n">
        <v>0</v>
      </c>
      <c r="M197" s="12" t="n">
        <v>0.01</v>
      </c>
      <c r="N197" s="12" t="n">
        <v>0</v>
      </c>
      <c r="O197" s="12" t="n">
        <v>0</v>
      </c>
      <c r="P197" s="12" t="n">
        <v>0</v>
      </c>
    </row>
    <row r="198">
      <c r="A198" s="12" t="inlineStr">
        <is>
          <t>Guerrilla Master</t>
        </is>
      </c>
      <c r="B198" s="12" t="inlineStr">
        <is>
          <t>AGI</t>
        </is>
      </c>
      <c r="C198" s="12" t="n">
        <v>1</v>
      </c>
      <c r="D198" s="12" t="inlineStr">
        <is>
          <t>dmg_general_per_onslaught_stack_close_only</t>
        </is>
      </c>
      <c r="E198" s="12" t="inlineStr">
        <is>
          <t>Confirmed</t>
        </is>
      </c>
      <c r="F198" s="12" t="inlineStr">
        <is>
          <t>fallout.wiki - Guerrilla Master, individually verified (explicitly notes prior 3-rank version before Patch 1.7.18.22) (cross-checked this session)</t>
        </is>
      </c>
      <c r="G198" s="12" t="n">
        <v>0</v>
      </c>
      <c r="H198" s="12" t="n">
        <v>3</v>
      </c>
      <c r="I198" s="12" t="n">
        <v>3</v>
      </c>
      <c r="J198" s="12" t="n">
        <v>3</v>
      </c>
      <c r="K198" s="12" t="n">
        <v>3</v>
      </c>
      <c r="L198" s="12" t="n">
        <v>0</v>
      </c>
      <c r="M198" s="12" t="n">
        <v>0.05</v>
      </c>
      <c r="N198" s="12" t="n">
        <v>0</v>
      </c>
      <c r="O198" s="12" t="n">
        <v>0</v>
      </c>
      <c r="P198" s="12" t="n">
        <v>0</v>
      </c>
    </row>
    <row r="199">
      <c r="A199" s="12" t="inlineStr">
        <is>
          <t>Gun Fu</t>
        </is>
      </c>
      <c r="B199" s="12" t="inlineStr">
        <is>
          <t>AGI</t>
        </is>
      </c>
      <c r="C199" s="12" t="n">
        <v>3</v>
      </c>
      <c r="D199" s="12" t="inlineStr">
        <is>
          <t>non_combat_multitarget</t>
        </is>
      </c>
      <c r="E199" s="12" t="inlineStr">
        <is>
          <t>Likely</t>
        </is>
      </c>
      <c r="F199" s="12" t="inlineStr">
        <is>
          <t>fallout.wiki - Fallout 76 Perks (Agility section)</t>
        </is>
      </c>
      <c r="G199" s="12" t="n">
        <v>0</v>
      </c>
      <c r="H199" s="12" t="n">
        <v>1</v>
      </c>
      <c r="I199" s="12" t="n">
        <v>2</v>
      </c>
      <c r="J199" s="12" t="n">
        <v>3</v>
      </c>
      <c r="K199" s="12" t="n">
        <v>3</v>
      </c>
      <c r="L199" s="12" t="n">
        <v>0</v>
      </c>
      <c r="M199" s="12" t="n">
        <v>0</v>
      </c>
      <c r="N199" s="12" t="n">
        <v>0</v>
      </c>
      <c r="O199" s="12" t="n">
        <v>0</v>
      </c>
      <c r="P199" s="12" t="n">
        <v>0</v>
      </c>
    </row>
    <row r="200">
      <c r="A200" s="12" t="inlineStr">
        <is>
          <t>Gun Runner</t>
        </is>
      </c>
      <c r="B200" s="12" t="inlineStr">
        <is>
          <t>AGI</t>
        </is>
      </c>
      <c r="C200" s="12" t="n">
        <v>2</v>
      </c>
      <c r="D200" s="12" t="inlineStr">
        <is>
          <t>non_combat</t>
        </is>
      </c>
      <c r="E200" s="12" t="inlineStr">
        <is>
          <t>Likely</t>
        </is>
      </c>
      <c r="F200" s="12" t="inlineStr">
        <is>
          <t>fallout.wiki - Fallout 76 Perks (Agility section)</t>
        </is>
      </c>
      <c r="G200" s="12" t="n">
        <v>0</v>
      </c>
      <c r="H200" s="12" t="n">
        <v>1</v>
      </c>
      <c r="I200" s="12" t="n">
        <v>2</v>
      </c>
      <c r="J200" s="12" t="n">
        <v>2</v>
      </c>
      <c r="K200" s="12" t="n">
        <v>2</v>
      </c>
      <c r="L200" s="12" t="n">
        <v>0</v>
      </c>
      <c r="M200" s="12" t="n">
        <v>0</v>
      </c>
      <c r="N200" s="12" t="n">
        <v>0</v>
      </c>
      <c r="O200" s="12" t="n">
        <v>0</v>
      </c>
      <c r="P200" s="12" t="n">
        <v>0</v>
      </c>
    </row>
    <row r="201">
      <c r="A201" s="12" t="inlineStr">
        <is>
          <t>Gunslinger</t>
        </is>
      </c>
      <c r="B201" s="12" t="inlineStr">
        <is>
          <t>AGI</t>
        </is>
      </c>
      <c r="C201" s="12" t="n">
        <v>3</v>
      </c>
      <c r="D201" s="12" t="inlineStr">
        <is>
          <t>dmg_weakspot</t>
        </is>
      </c>
      <c r="E201" s="12" t="inlineStr">
        <is>
          <t>Confirmed</t>
        </is>
      </c>
      <c r="F201" s="12" t="inlineStr">
        <is>
          <t>fallout.wiki - Gunslinger (Fallout 76), individually verified (cross-checked this session)</t>
        </is>
      </c>
      <c r="G201" s="12" t="n">
        <v>0</v>
      </c>
      <c r="H201" s="12" t="n">
        <v>1</v>
      </c>
      <c r="I201" s="12" t="n">
        <v>2</v>
      </c>
      <c r="J201" s="12" t="n">
        <v>3</v>
      </c>
      <c r="K201" s="12" t="n">
        <v>3</v>
      </c>
      <c r="L201" s="12" t="n">
        <v>0</v>
      </c>
      <c r="M201" s="12" t="n">
        <v>0.06</v>
      </c>
      <c r="N201" s="12" t="n">
        <v>0.09</v>
      </c>
      <c r="O201" s="12" t="n">
        <v>0.12</v>
      </c>
      <c r="P201" s="12" t="n">
        <v>0</v>
      </c>
    </row>
    <row r="202">
      <c r="A202" s="12" t="inlineStr">
        <is>
          <t>Gunslinger Expert</t>
        </is>
      </c>
      <c r="B202" s="12" t="inlineStr">
        <is>
          <t>AGI</t>
        </is>
      </c>
      <c r="C202" s="12" t="n">
        <v>1</v>
      </c>
      <c r="D202" s="12" t="inlineStr">
        <is>
          <t>dmg_weakspot_per_onslaught_stack</t>
        </is>
      </c>
      <c r="E202" s="12" t="inlineStr">
        <is>
          <t>Confirmed</t>
        </is>
      </c>
      <c r="F202" s="12" t="inlineStr">
        <is>
          <t>fallout.wiki - Gunslinger Expert, individually verified (cross-checked this session)</t>
        </is>
      </c>
      <c r="G202" s="12" t="n">
        <v>0</v>
      </c>
      <c r="H202" s="12" t="n">
        <v>2</v>
      </c>
      <c r="I202" s="12" t="n">
        <v>2</v>
      </c>
      <c r="J202" s="12" t="n">
        <v>2</v>
      </c>
      <c r="K202" s="12" t="n">
        <v>2</v>
      </c>
      <c r="L202" s="12" t="n">
        <v>0</v>
      </c>
      <c r="M202" s="12" t="n">
        <v>0.01</v>
      </c>
      <c r="N202" s="12" t="n">
        <v>0</v>
      </c>
      <c r="O202" s="12" t="n">
        <v>0</v>
      </c>
      <c r="P202" s="12" t="n">
        <v>0</v>
      </c>
    </row>
    <row r="203">
      <c r="A203" s="12" t="inlineStr">
        <is>
          <t>Gunslinger Master</t>
        </is>
      </c>
      <c r="B203" s="12" t="inlineStr">
        <is>
          <t>AGI</t>
        </is>
      </c>
      <c r="C203" s="12" t="n">
        <v>1</v>
      </c>
      <c r="D203" s="12" t="inlineStr">
        <is>
          <t>non_combat_special</t>
        </is>
      </c>
      <c r="E203" s="12" t="inlineStr">
        <is>
          <t>Confirmed</t>
        </is>
      </c>
      <c r="F203" s="12" t="inlineStr">
        <is>
          <t>fallout.wiki - Gunslinger Master, individually verified (cross-checked this session)</t>
        </is>
      </c>
      <c r="G203" s="12" t="n">
        <v>0</v>
      </c>
      <c r="H203" s="12" t="n">
        <v>3</v>
      </c>
      <c r="I203" s="12" t="n">
        <v>3</v>
      </c>
      <c r="J203" s="12" t="n">
        <v>3</v>
      </c>
      <c r="K203" s="12" t="n">
        <v>3</v>
      </c>
      <c r="L203" s="12" t="n">
        <v>0</v>
      </c>
      <c r="M203" s="12" t="n">
        <v>0</v>
      </c>
      <c r="N203" s="12" t="n">
        <v>0</v>
      </c>
      <c r="O203" s="12" t="n">
        <v>0</v>
      </c>
      <c r="P203" s="12" t="n">
        <v>0</v>
      </c>
    </row>
    <row r="204">
      <c r="A204" s="12" t="inlineStr">
        <is>
          <t>Home Defense</t>
        </is>
      </c>
      <c r="B204" s="12" t="inlineStr">
        <is>
          <t>AGI</t>
        </is>
      </c>
      <c r="C204" s="12" t="n">
        <v>3</v>
      </c>
      <c r="D204" s="12" t="inlineStr">
        <is>
          <t>non_combat</t>
        </is>
      </c>
      <c r="E204" s="12" t="inlineStr">
        <is>
          <t>Likely</t>
        </is>
      </c>
      <c r="F204" s="12" t="inlineStr">
        <is>
          <t>fallout.wiki - Fallout 76 Perks (Agility section)</t>
        </is>
      </c>
      <c r="G204" s="12" t="n">
        <v>0</v>
      </c>
      <c r="H204" s="12" t="n">
        <v>1</v>
      </c>
      <c r="I204" s="12" t="n">
        <v>2</v>
      </c>
      <c r="J204" s="12" t="n">
        <v>3</v>
      </c>
      <c r="K204" s="12" t="n">
        <v>3</v>
      </c>
      <c r="L204" s="12" t="n">
        <v>0</v>
      </c>
      <c r="M204" s="12" t="n">
        <v>0</v>
      </c>
      <c r="N204" s="12" t="n">
        <v>0</v>
      </c>
      <c r="O204" s="12" t="n">
        <v>0</v>
      </c>
      <c r="P204" s="12" t="n">
        <v>0</v>
      </c>
    </row>
    <row r="205">
      <c r="A205" s="12" t="inlineStr">
        <is>
          <t>Light Footed</t>
        </is>
      </c>
      <c r="B205" s="12" t="inlineStr">
        <is>
          <t>AGI</t>
        </is>
      </c>
      <c r="C205" s="12" t="n">
        <v>1</v>
      </c>
      <c r="D205" s="12" t="inlineStr">
        <is>
          <t>non_combat</t>
        </is>
      </c>
      <c r="E205" s="12" t="inlineStr">
        <is>
          <t>Likely</t>
        </is>
      </c>
      <c r="F205" s="12" t="inlineStr">
        <is>
          <t>fallout.wiki - Fallout 76 Perks (Agility section)</t>
        </is>
      </c>
      <c r="G205" s="12" t="n">
        <v>0</v>
      </c>
      <c r="H205" s="12" t="n">
        <v>1</v>
      </c>
      <c r="I205" s="12" t="n">
        <v>1</v>
      </c>
      <c r="J205" s="12" t="n">
        <v>1</v>
      </c>
      <c r="K205" s="12" t="n">
        <v>1</v>
      </c>
      <c r="L205" s="12" t="n">
        <v>0</v>
      </c>
      <c r="M205" s="12" t="n">
        <v>0</v>
      </c>
      <c r="N205" s="12" t="n">
        <v>0</v>
      </c>
      <c r="O205" s="12" t="n">
        <v>0</v>
      </c>
      <c r="P205" s="12" t="n">
        <v>0</v>
      </c>
    </row>
    <row r="206">
      <c r="A206" s="12" t="inlineStr">
        <is>
          <t>Marathoner</t>
        </is>
      </c>
      <c r="B206" s="12" t="inlineStr">
        <is>
          <t>AGI</t>
        </is>
      </c>
      <c r="C206" s="12" t="n">
        <v>3</v>
      </c>
      <c r="D206" s="12" t="inlineStr">
        <is>
          <t>non_combat</t>
        </is>
      </c>
      <c r="E206" s="12" t="inlineStr">
        <is>
          <t>Likely</t>
        </is>
      </c>
      <c r="F206" s="12" t="inlineStr">
        <is>
          <t>fallout.wiki - Fallout 76 Perks (Agility section)</t>
        </is>
      </c>
      <c r="G206" s="12" t="n">
        <v>0</v>
      </c>
      <c r="H206" s="12" t="n">
        <v>1</v>
      </c>
      <c r="I206" s="12" t="n">
        <v>2</v>
      </c>
      <c r="J206" s="12" t="n">
        <v>3</v>
      </c>
      <c r="K206" s="12" t="n">
        <v>3</v>
      </c>
      <c r="L206" s="12" t="n">
        <v>0</v>
      </c>
      <c r="M206" s="12" t="n">
        <v>0</v>
      </c>
      <c r="N206" s="12" t="n">
        <v>0</v>
      </c>
      <c r="O206" s="12" t="n">
        <v>0</v>
      </c>
      <c r="P206" s="12" t="n">
        <v>0</v>
      </c>
    </row>
    <row r="207">
      <c r="A207" s="12" t="inlineStr">
        <is>
          <t>Mister Sandman</t>
        </is>
      </c>
      <c r="B207" s="12" t="inlineStr">
        <is>
          <t>AGI</t>
        </is>
      </c>
      <c r="C207" s="12" t="n">
        <v>2</v>
      </c>
      <c r="D207" s="12" t="inlineStr">
        <is>
          <t>catalogued_not_wired</t>
        </is>
      </c>
      <c r="E207" s="12" t="inlineStr">
        <is>
          <t>Likely</t>
        </is>
      </c>
      <c r="F207" s="12" t="inlineStr">
        <is>
          <t>fallout.wiki - Fallout 76 Perks (Agility section)</t>
        </is>
      </c>
      <c r="G207" s="12" t="n">
        <v>0</v>
      </c>
      <c r="H207" s="12" t="n">
        <v>1</v>
      </c>
      <c r="I207" s="12" t="n">
        <v>2</v>
      </c>
      <c r="J207" s="12" t="n">
        <v>2</v>
      </c>
      <c r="K207" s="12" t="n">
        <v>2</v>
      </c>
      <c r="L207" s="12" t="n">
        <v>0</v>
      </c>
      <c r="M207" s="12" t="n">
        <v>0</v>
      </c>
      <c r="N207" s="12" t="n">
        <v>0</v>
      </c>
      <c r="O207" s="12" t="n">
        <v>0</v>
      </c>
      <c r="P207" s="12" t="n">
        <v>0</v>
      </c>
    </row>
    <row r="208">
      <c r="A208" s="12" t="inlineStr">
        <is>
          <t>Modern Renegade</t>
        </is>
      </c>
      <c r="B208" s="12" t="inlineStr">
        <is>
          <t>AGI</t>
        </is>
      </c>
      <c r="C208" s="12" t="n">
        <v>3</v>
      </c>
      <c r="D208" s="12" t="inlineStr">
        <is>
          <t>catalogued_not_wired</t>
        </is>
      </c>
      <c r="E208" s="12" t="inlineStr">
        <is>
          <t>Likely</t>
        </is>
      </c>
      <c r="F208" s="12" t="inlineStr">
        <is>
          <t>fallout.wiki - Fallout 76 Perks (Agility section)</t>
        </is>
      </c>
      <c r="G208" s="12" t="n">
        <v>0</v>
      </c>
      <c r="H208" s="12" t="n">
        <v>1</v>
      </c>
      <c r="I208" s="12" t="n">
        <v>2</v>
      </c>
      <c r="J208" s="12" t="n">
        <v>3</v>
      </c>
      <c r="K208" s="12" t="n">
        <v>3</v>
      </c>
      <c r="L208" s="12" t="n">
        <v>0</v>
      </c>
      <c r="M208" s="12" t="n">
        <v>0</v>
      </c>
      <c r="N208" s="12" t="n">
        <v>0</v>
      </c>
      <c r="O208" s="12" t="n">
        <v>0</v>
      </c>
      <c r="P208" s="12" t="n">
        <v>0</v>
      </c>
    </row>
    <row r="209">
      <c r="A209" s="12" t="inlineStr">
        <is>
          <t>Moving Target</t>
        </is>
      </c>
      <c r="B209" s="12" t="inlineStr">
        <is>
          <t>AGI</t>
        </is>
      </c>
      <c r="C209" s="12" t="n">
        <v>3</v>
      </c>
      <c r="D209" s="12" t="inlineStr">
        <is>
          <t>catalogued_not_wired</t>
        </is>
      </c>
      <c r="E209" s="12" t="inlineStr">
        <is>
          <t>Likely</t>
        </is>
      </c>
      <c r="F209" s="12" t="inlineStr">
        <is>
          <t>fallout.wiki - Fallout 76 Perks (Agility section)</t>
        </is>
      </c>
      <c r="G209" s="12" t="n">
        <v>0</v>
      </c>
      <c r="H209" s="12" t="n">
        <v>1</v>
      </c>
      <c r="I209" s="12" t="n">
        <v>2</v>
      </c>
      <c r="J209" s="12" t="n">
        <v>3</v>
      </c>
      <c r="K209" s="12" t="n">
        <v>3</v>
      </c>
      <c r="L209" s="12" t="n">
        <v>0</v>
      </c>
      <c r="M209" s="12" t="n">
        <v>0</v>
      </c>
      <c r="N209" s="12" t="n">
        <v>0</v>
      </c>
      <c r="O209" s="12" t="n">
        <v>0</v>
      </c>
      <c r="P209" s="12" t="n">
        <v>0</v>
      </c>
    </row>
    <row r="210">
      <c r="A210" s="12" t="inlineStr">
        <is>
          <t>Ninja</t>
        </is>
      </c>
      <c r="B210" s="12" t="inlineStr">
        <is>
          <t>AGI</t>
        </is>
      </c>
      <c r="C210" s="12" t="n">
        <v>2</v>
      </c>
      <c r="D210" s="12" t="inlineStr">
        <is>
          <t>catalogued_not_wired</t>
        </is>
      </c>
      <c r="E210" s="12" t="inlineStr">
        <is>
          <t>Confirmed</t>
        </is>
      </c>
      <c r="F210" s="12" t="inlineStr">
        <is>
          <t>nukaknights.com Patch 62/PTS changelog; fallout.wiki section fetch</t>
        </is>
      </c>
      <c r="G210" s="12" t="n">
        <v>0</v>
      </c>
      <c r="H210" s="12" t="n">
        <v>1</v>
      </c>
      <c r="I210" s="12" t="n">
        <v>2</v>
      </c>
      <c r="J210" s="12" t="n">
        <v>2</v>
      </c>
      <c r="K210" s="12" t="n">
        <v>2</v>
      </c>
      <c r="L210" s="12" t="n">
        <v>0</v>
      </c>
      <c r="M210" s="12" t="n">
        <v>0</v>
      </c>
      <c r="N210" s="12" t="n">
        <v>0</v>
      </c>
      <c r="O210" s="12" t="n">
        <v>0</v>
      </c>
      <c r="P210" s="12" t="n">
        <v>0</v>
      </c>
    </row>
    <row r="211">
      <c r="A211" s="12" t="inlineStr">
        <is>
          <t>Packin' Light</t>
        </is>
      </c>
      <c r="B211" s="12" t="inlineStr">
        <is>
          <t>AGI</t>
        </is>
      </c>
      <c r="C211" s="12" t="n">
        <v>1</v>
      </c>
      <c r="D211" s="12" t="inlineStr">
        <is>
          <t>non_combat</t>
        </is>
      </c>
      <c r="E211" s="12" t="inlineStr">
        <is>
          <t>Likely</t>
        </is>
      </c>
      <c r="F211" s="12" t="inlineStr">
        <is>
          <t>fallout.wiki - Fallout 76 Perks (Agility section)</t>
        </is>
      </c>
      <c r="G211" s="12" t="n">
        <v>0</v>
      </c>
      <c r="H211" s="12" t="n">
        <v>1</v>
      </c>
      <c r="I211" s="12" t="n">
        <v>1</v>
      </c>
      <c r="J211" s="12" t="n">
        <v>1</v>
      </c>
      <c r="K211" s="12" t="n">
        <v>1</v>
      </c>
      <c r="L211" s="12" t="n">
        <v>0</v>
      </c>
      <c r="M211" s="12" t="n">
        <v>0</v>
      </c>
      <c r="N211" s="12" t="n">
        <v>0</v>
      </c>
      <c r="O211" s="12" t="n">
        <v>0</v>
      </c>
      <c r="P211" s="12" t="n">
        <v>0</v>
      </c>
    </row>
    <row r="212">
      <c r="A212" s="12" t="inlineStr">
        <is>
          <t>Secret Agent</t>
        </is>
      </c>
      <c r="B212" s="12" t="inlineStr">
        <is>
          <t>AGI</t>
        </is>
      </c>
      <c r="C212" s="12" t="n">
        <v>3</v>
      </c>
      <c r="D212" s="12" t="inlineStr">
        <is>
          <t>non_combat</t>
        </is>
      </c>
      <c r="E212" s="12" t="inlineStr">
        <is>
          <t>Likely</t>
        </is>
      </c>
      <c r="F212" s="12" t="inlineStr">
        <is>
          <t>fallout.wiki - Fallout 76 Perks (Agility section)</t>
        </is>
      </c>
      <c r="G212" s="12" t="n">
        <v>0</v>
      </c>
      <c r="H212" s="12" t="n">
        <v>1</v>
      </c>
      <c r="I212" s="12" t="n">
        <v>2</v>
      </c>
      <c r="J212" s="12" t="n">
        <v>3</v>
      </c>
      <c r="K212" s="12" t="n">
        <v>3</v>
      </c>
      <c r="L212" s="12" t="n">
        <v>0</v>
      </c>
      <c r="M212" s="12" t="n">
        <v>0</v>
      </c>
      <c r="N212" s="12" t="n">
        <v>0</v>
      </c>
      <c r="O212" s="12" t="n">
        <v>0</v>
      </c>
      <c r="P212" s="12" t="n">
        <v>0</v>
      </c>
    </row>
    <row r="213">
      <c r="A213" s="12" t="inlineStr">
        <is>
          <t>Sneak</t>
        </is>
      </c>
      <c r="B213" s="12" t="inlineStr">
        <is>
          <t>AGI</t>
        </is>
      </c>
      <c r="C213" s="12" t="n">
        <v>3</v>
      </c>
      <c r="D213" s="12" t="inlineStr">
        <is>
          <t>catalogued_not_wired</t>
        </is>
      </c>
      <c r="E213" s="12" t="inlineStr">
        <is>
          <t>Likely</t>
        </is>
      </c>
      <c r="F213" s="12" t="inlineStr">
        <is>
          <t>fallout.wiki - Fallout 76 Perks (Agility section)</t>
        </is>
      </c>
      <c r="G213" s="12" t="n">
        <v>0</v>
      </c>
      <c r="H213" s="12" t="n">
        <v>1</v>
      </c>
      <c r="I213" s="12" t="n">
        <v>2</v>
      </c>
      <c r="J213" s="12" t="n">
        <v>3</v>
      </c>
      <c r="K213" s="12" t="n">
        <v>3</v>
      </c>
      <c r="L213" s="12" t="n">
        <v>0</v>
      </c>
      <c r="M213" s="12" t="n">
        <v>0</v>
      </c>
      <c r="N213" s="12" t="n">
        <v>0</v>
      </c>
      <c r="O213" s="12" t="n">
        <v>0</v>
      </c>
      <c r="P213" s="12" t="n">
        <v>0</v>
      </c>
    </row>
    <row r="214">
      <c r="A214" s="12" t="inlineStr">
        <is>
          <t>Action Ghoul</t>
        </is>
      </c>
      <c r="B214" s="12" t="inlineStr">
        <is>
          <t>AGI</t>
        </is>
      </c>
      <c r="C214" s="12" t="n">
        <v>3</v>
      </c>
      <c r="D214" s="12" t="inlineStr">
        <is>
          <t>catalogued_not_wired</t>
        </is>
      </c>
      <c r="E214" s="12" t="inlineStr">
        <is>
          <t>Likely</t>
        </is>
      </c>
      <c r="F214" s="12" t="inlineStr">
        <is>
          <t>fallout.wiki - Fallout 76 Perks (Ghoul Agility section)</t>
        </is>
      </c>
      <c r="G214" s="12" t="n">
        <v>0</v>
      </c>
      <c r="H214" s="12" t="n">
        <v>1</v>
      </c>
      <c r="I214" s="12" t="n">
        <v>2</v>
      </c>
      <c r="J214" s="12" t="n">
        <v>3</v>
      </c>
      <c r="K214" s="12" t="n">
        <v>3</v>
      </c>
      <c r="L214" s="12" t="n">
        <v>0</v>
      </c>
      <c r="M214" s="12" t="n">
        <v>0</v>
      </c>
      <c r="N214" s="12" t="n">
        <v>0</v>
      </c>
      <c r="O214" s="12" t="n">
        <v>0</v>
      </c>
      <c r="P214" s="12" t="n">
        <v>0</v>
      </c>
    </row>
    <row r="215">
      <c r="A215" s="12" t="inlineStr">
        <is>
          <t>Gun Tricks</t>
        </is>
      </c>
      <c r="B215" s="12" t="inlineStr">
        <is>
          <t>AGI</t>
        </is>
      </c>
      <c r="C215" s="12" t="n">
        <v>3</v>
      </c>
      <c r="D215" s="12" t="inlineStr">
        <is>
          <t>catalogued_not_wired</t>
        </is>
      </c>
      <c r="E215" s="12" t="inlineStr">
        <is>
          <t>Likely</t>
        </is>
      </c>
      <c r="F215" s="12" t="inlineStr">
        <is>
          <t>fallout.wiki - Fallout 76 Perks (Ghoul Agility section)</t>
        </is>
      </c>
      <c r="G215" s="12" t="n">
        <v>0</v>
      </c>
      <c r="H215" s="12" t="n">
        <v>1</v>
      </c>
      <c r="I215" s="12" t="n">
        <v>2</v>
      </c>
      <c r="J215" s="12" t="n">
        <v>3</v>
      </c>
      <c r="K215" s="12" t="n">
        <v>3</v>
      </c>
      <c r="L215" s="12" t="n">
        <v>0</v>
      </c>
      <c r="M215" s="12" t="n">
        <v>0</v>
      </c>
      <c r="N215" s="12" t="n">
        <v>0</v>
      </c>
      <c r="O215" s="12" t="n">
        <v>0</v>
      </c>
      <c r="P215" s="12" t="n">
        <v>0</v>
      </c>
    </row>
    <row r="216">
      <c r="A216" s="12" t="inlineStr">
        <is>
          <t>Hyper Reflexes</t>
        </is>
      </c>
      <c r="B216" s="12" t="inlineStr">
        <is>
          <t>AGI</t>
        </is>
      </c>
      <c r="C216" s="12" t="n">
        <v>3</v>
      </c>
      <c r="D216" s="12" t="inlineStr">
        <is>
          <t>catalogued_not_wired</t>
        </is>
      </c>
      <c r="E216" s="12" t="inlineStr">
        <is>
          <t>Likely</t>
        </is>
      </c>
      <c r="F216" s="12" t="inlineStr">
        <is>
          <t>fallout.wiki - Fallout 76 Perks (Ghoul Agility section)</t>
        </is>
      </c>
      <c r="G216" s="12" t="n">
        <v>0</v>
      </c>
      <c r="H216" s="12" t="n">
        <v>1</v>
      </c>
      <c r="I216" s="12" t="n">
        <v>2</v>
      </c>
      <c r="J216" s="12" t="n">
        <v>3</v>
      </c>
      <c r="K216" s="12" t="n">
        <v>3</v>
      </c>
      <c r="L216" s="12" t="n">
        <v>0</v>
      </c>
      <c r="M216" s="12" t="n">
        <v>0</v>
      </c>
      <c r="N216" s="12" t="n">
        <v>0</v>
      </c>
      <c r="O216" s="12" t="n">
        <v>0</v>
      </c>
      <c r="P216" s="12" t="n">
        <v>0</v>
      </c>
    </row>
    <row r="217">
      <c r="A217" s="12" t="inlineStr">
        <is>
          <t>Jaguar Speed</t>
        </is>
      </c>
      <c r="B217" s="12" t="inlineStr">
        <is>
          <t>AGI</t>
        </is>
      </c>
      <c r="C217" s="12" t="n">
        <v>2</v>
      </c>
      <c r="D217" s="12" t="inlineStr">
        <is>
          <t>non_combat</t>
        </is>
      </c>
      <c r="E217" s="12" t="inlineStr">
        <is>
          <t>Likely</t>
        </is>
      </c>
      <c r="F217" s="12" t="inlineStr">
        <is>
          <t>fallout.wiki - Fallout 76 Perks (Ghoul Agility section)</t>
        </is>
      </c>
      <c r="G217" s="12" t="n">
        <v>0</v>
      </c>
      <c r="H217" s="12" t="n">
        <v>1</v>
      </c>
      <c r="I217" s="12" t="n">
        <v>2</v>
      </c>
      <c r="J217" s="12" t="n">
        <v>2</v>
      </c>
      <c r="K217" s="12" t="n">
        <v>2</v>
      </c>
      <c r="L217" s="12" t="n">
        <v>0</v>
      </c>
      <c r="M217" s="12" t="n">
        <v>0</v>
      </c>
      <c r="N217" s="12" t="n">
        <v>0</v>
      </c>
      <c r="O217" s="12" t="n">
        <v>0</v>
      </c>
      <c r="P217" s="12" t="n">
        <v>0</v>
      </c>
    </row>
    <row r="218">
      <c r="A218" s="12" t="inlineStr">
        <is>
          <t>Better Criticals</t>
        </is>
      </c>
      <c r="B218" s="12" t="inlineStr">
        <is>
          <t>LCK</t>
        </is>
      </c>
      <c r="C218" s="12" t="n">
        <v>3</v>
      </c>
      <c r="D218" s="12" t="inlineStr">
        <is>
          <t>crit_mult_bonus</t>
        </is>
      </c>
      <c r="E218" s="12" t="inlineStr">
        <is>
          <t>Confirmed</t>
        </is>
      </c>
      <c r="F218" s="12" t="inlineStr">
        <is>
          <t>fallout.wiki - Fallout 76 Perks (Luck section) (cross-checked this session)</t>
        </is>
      </c>
      <c r="G218" s="12" t="n">
        <v>0</v>
      </c>
      <c r="H218" s="12" t="n">
        <v>1</v>
      </c>
      <c r="I218" s="12" t="n">
        <v>2</v>
      </c>
      <c r="J218" s="12" t="n">
        <v>3</v>
      </c>
      <c r="K218" s="12" t="n">
        <v>3</v>
      </c>
      <c r="L218" s="12" t="n">
        <v>0</v>
      </c>
      <c r="M218" s="12" t="n">
        <v>0.5</v>
      </c>
      <c r="N218" s="12" t="n">
        <v>0.75</v>
      </c>
      <c r="O218" s="12" t="n">
        <v>1</v>
      </c>
      <c r="P218" s="12" t="n">
        <v>0</v>
      </c>
    </row>
    <row r="219">
      <c r="A219" s="12" t="inlineStr">
        <is>
          <t>Bloody Mess</t>
        </is>
      </c>
      <c r="B219" s="12" t="inlineStr">
        <is>
          <t>LCK</t>
        </is>
      </c>
      <c r="C219" s="12" t="n">
        <v>1</v>
      </c>
      <c r="D219" s="12" t="inlineStr">
        <is>
          <t>catalogued_not_wired</t>
        </is>
      </c>
      <c r="E219" s="12" t="inlineStr">
        <is>
          <t>Confirmed</t>
        </is>
      </c>
      <c r="F219" s="12" t="inlineStr">
        <is>
          <t>fallout.wiki - Bloody Mess (Fallout 76); nukaknights.com PTS/Patch 62 changelog</t>
        </is>
      </c>
      <c r="G219" s="12" t="n">
        <v>0</v>
      </c>
      <c r="H219" s="12" t="n">
        <v>1</v>
      </c>
      <c r="I219" s="12" t="n">
        <v>1</v>
      </c>
      <c r="J219" s="12" t="n">
        <v>1</v>
      </c>
      <c r="K219" s="12" t="n">
        <v>1</v>
      </c>
      <c r="L219" s="12" t="n">
        <v>0</v>
      </c>
      <c r="M219" s="12" t="n">
        <v>0</v>
      </c>
      <c r="N219" s="12" t="n">
        <v>0</v>
      </c>
      <c r="O219" s="12" t="n">
        <v>0</v>
      </c>
      <c r="P219" s="12" t="n">
        <v>0</v>
      </c>
    </row>
    <row r="220">
      <c r="A220" s="12" t="inlineStr">
        <is>
          <t>Can Do!</t>
        </is>
      </c>
      <c r="B220" s="12" t="inlineStr">
        <is>
          <t>LCK</t>
        </is>
      </c>
      <c r="C220" s="12" t="n">
        <v>1</v>
      </c>
      <c r="D220" s="12" t="inlineStr">
        <is>
          <t>non_combat</t>
        </is>
      </c>
      <c r="E220" s="12" t="inlineStr">
        <is>
          <t>Likely</t>
        </is>
      </c>
      <c r="F220" s="12" t="inlineStr">
        <is>
          <t>fallout.wiki - Fallout 76 Perks (Luck section)</t>
        </is>
      </c>
      <c r="G220" s="12" t="n">
        <v>0</v>
      </c>
      <c r="H220" s="12" t="n">
        <v>1</v>
      </c>
      <c r="I220" s="12" t="n">
        <v>1</v>
      </c>
      <c r="J220" s="12" t="n">
        <v>1</v>
      </c>
      <c r="K220" s="12" t="n">
        <v>1</v>
      </c>
      <c r="L220" s="12" t="n">
        <v>0</v>
      </c>
      <c r="M220" s="12" t="n">
        <v>0</v>
      </c>
      <c r="N220" s="12" t="n">
        <v>0</v>
      </c>
      <c r="O220" s="12" t="n">
        <v>0</v>
      </c>
      <c r="P220" s="12" t="n">
        <v>0</v>
      </c>
    </row>
    <row r="221">
      <c r="A221" s="12" t="inlineStr">
        <is>
          <t>Cap Collector</t>
        </is>
      </c>
      <c r="B221" s="12" t="inlineStr">
        <is>
          <t>LCK</t>
        </is>
      </c>
      <c r="C221" s="12" t="n">
        <v>1</v>
      </c>
      <c r="D221" s="12" t="inlineStr">
        <is>
          <t>non_combat</t>
        </is>
      </c>
      <c r="E221" s="12" t="inlineStr">
        <is>
          <t>Likely</t>
        </is>
      </c>
      <c r="F221" s="12" t="inlineStr">
        <is>
          <t>fallout.wiki - Fallout 76 Perks (Luck section)</t>
        </is>
      </c>
      <c r="G221" s="12" t="n">
        <v>0</v>
      </c>
      <c r="H221" s="12" t="n">
        <v>1</v>
      </c>
      <c r="I221" s="12" t="n">
        <v>1</v>
      </c>
      <c r="J221" s="12" t="n">
        <v>1</v>
      </c>
      <c r="K221" s="12" t="n">
        <v>1</v>
      </c>
      <c r="L221" s="12" t="n">
        <v>0</v>
      </c>
      <c r="M221" s="12" t="n">
        <v>0</v>
      </c>
      <c r="N221" s="12" t="n">
        <v>0</v>
      </c>
      <c r="O221" s="12" t="n">
        <v>0</v>
      </c>
      <c r="P221" s="12" t="n">
        <v>0</v>
      </c>
    </row>
    <row r="222">
      <c r="A222" s="12" t="inlineStr">
        <is>
          <t>Class Freak</t>
        </is>
      </c>
      <c r="B222" s="12" t="inlineStr">
        <is>
          <t>LCK</t>
        </is>
      </c>
      <c r="C222" s="12" t="n">
        <v>3</v>
      </c>
      <c r="D222" s="12" t="inlineStr">
        <is>
          <t>non_combat</t>
        </is>
      </c>
      <c r="E222" s="12" t="inlineStr">
        <is>
          <t>Likely</t>
        </is>
      </c>
      <c r="F222" s="12" t="inlineStr">
        <is>
          <t>fallout.wiki - Fallout 76 Perks (Luck section)</t>
        </is>
      </c>
      <c r="G222" s="12" t="n">
        <v>0</v>
      </c>
      <c r="H222" s="12" t="n">
        <v>1</v>
      </c>
      <c r="I222" s="12" t="n">
        <v>2</v>
      </c>
      <c r="J222" s="12" t="n">
        <v>3</v>
      </c>
      <c r="K222" s="12" t="n">
        <v>3</v>
      </c>
      <c r="L222" s="12" t="n">
        <v>0</v>
      </c>
      <c r="M222" s="12" t="n">
        <v>0</v>
      </c>
      <c r="N222" s="12" t="n">
        <v>0</v>
      </c>
      <c r="O222" s="12" t="n">
        <v>0</v>
      </c>
      <c r="P222" s="12" t="n">
        <v>0</v>
      </c>
    </row>
    <row r="223">
      <c r="A223" s="12" t="inlineStr">
        <is>
          <t>Critical Savvy</t>
        </is>
      </c>
      <c r="B223" s="12" t="inlineStr">
        <is>
          <t>LCK</t>
        </is>
      </c>
      <c r="C223" s="12" t="n">
        <v>3</v>
      </c>
      <c r="D223" s="12" t="inlineStr">
        <is>
          <t>crit_meter_cost_pct</t>
        </is>
      </c>
      <c r="E223" s="12" t="inlineStr">
        <is>
          <t>Confirmed</t>
        </is>
      </c>
      <c r="F223" s="12" t="inlineStr">
        <is>
          <t>fallout.wiki - Fallout 76 Perks (Luck section) (cross-checked this session)</t>
        </is>
      </c>
      <c r="G223" s="12" t="n">
        <v>0</v>
      </c>
      <c r="H223" s="12" t="n">
        <v>1</v>
      </c>
      <c r="I223" s="12" t="n">
        <v>2</v>
      </c>
      <c r="J223" s="12" t="n">
        <v>3</v>
      </c>
      <c r="K223" s="12" t="n">
        <v>3</v>
      </c>
      <c r="L223" s="12" t="n">
        <v>0</v>
      </c>
      <c r="M223" s="12" t="n">
        <v>0.85</v>
      </c>
      <c r="N223" s="12" t="n">
        <v>0.7</v>
      </c>
      <c r="O223" s="12" t="n">
        <v>0.55</v>
      </c>
      <c r="P223" s="12" t="n">
        <v>0</v>
      </c>
    </row>
    <row r="224">
      <c r="A224" s="12" t="inlineStr">
        <is>
          <t>Dry Nurse</t>
        </is>
      </c>
      <c r="B224" s="12" t="inlineStr">
        <is>
          <t>LCK</t>
        </is>
      </c>
      <c r="C224" s="12" t="n">
        <v>1</v>
      </c>
      <c r="D224" s="12" t="inlineStr">
        <is>
          <t>non_combat</t>
        </is>
      </c>
      <c r="E224" s="12" t="inlineStr">
        <is>
          <t>Likely</t>
        </is>
      </c>
      <c r="F224" s="12" t="inlineStr">
        <is>
          <t>fallout.wiki - Fallout 76 Perks (Luck section)</t>
        </is>
      </c>
      <c r="G224" s="12" t="n">
        <v>0</v>
      </c>
      <c r="H224" s="12" t="n">
        <v>1</v>
      </c>
      <c r="I224" s="12" t="n">
        <v>1</v>
      </c>
      <c r="J224" s="12" t="n">
        <v>1</v>
      </c>
      <c r="K224" s="12" t="n">
        <v>1</v>
      </c>
      <c r="L224" s="12" t="n">
        <v>0</v>
      </c>
      <c r="M224" s="12" t="n">
        <v>0</v>
      </c>
      <c r="N224" s="12" t="n">
        <v>0</v>
      </c>
      <c r="O224" s="12" t="n">
        <v>0</v>
      </c>
      <c r="P224" s="12" t="n">
        <v>0</v>
      </c>
    </row>
    <row r="225">
      <c r="A225" s="12" t="inlineStr">
        <is>
          <t>Four Leaf Clover</t>
        </is>
      </c>
      <c r="B225" s="12" t="inlineStr">
        <is>
          <t>LCK</t>
        </is>
      </c>
      <c r="C225" s="12" t="n">
        <v>1</v>
      </c>
      <c r="D225" s="12" t="inlineStr">
        <is>
          <t>catalogued_not_wired</t>
        </is>
      </c>
      <c r="E225" s="12" t="inlineStr">
        <is>
          <t>Likely</t>
        </is>
      </c>
      <c r="F225" s="12" t="inlineStr">
        <is>
          <t>fallout.wiki - Fallout 76 Perks (Luck section)</t>
        </is>
      </c>
      <c r="G225" s="12" t="n">
        <v>0</v>
      </c>
      <c r="H225" s="12" t="n">
        <v>1</v>
      </c>
      <c r="I225" s="12" t="n">
        <v>1</v>
      </c>
      <c r="J225" s="12" t="n">
        <v>1</v>
      </c>
      <c r="K225" s="12" t="n">
        <v>1</v>
      </c>
      <c r="L225" s="12" t="n">
        <v>0</v>
      </c>
      <c r="M225" s="12" t="n">
        <v>0</v>
      </c>
      <c r="N225" s="12" t="n">
        <v>0</v>
      </c>
      <c r="O225" s="12" t="n">
        <v>0</v>
      </c>
      <c r="P225" s="12" t="n">
        <v>0</v>
      </c>
    </row>
    <row r="226">
      <c r="A226" s="12" t="inlineStr">
        <is>
          <t>Grim Reaper's Sprint</t>
        </is>
      </c>
      <c r="B226" s="12" t="inlineStr">
        <is>
          <t>LCK</t>
        </is>
      </c>
      <c r="C226" s="12" t="n">
        <v>1</v>
      </c>
      <c r="D226" s="12" t="inlineStr">
        <is>
          <t>catalogued_not_wired</t>
        </is>
      </c>
      <c r="E226" s="12" t="inlineStr">
        <is>
          <t>Confirmed</t>
        </is>
      </c>
      <c r="F226" s="12" t="inlineStr">
        <is>
          <t>nukaknights.com Patch 62/PTS changelog; fallout.wiki section fetch</t>
        </is>
      </c>
      <c r="G226" s="12" t="n">
        <v>0</v>
      </c>
      <c r="H226" s="12" t="n">
        <v>2</v>
      </c>
      <c r="I226" s="12" t="n">
        <v>2</v>
      </c>
      <c r="J226" s="12" t="n">
        <v>2</v>
      </c>
      <c r="K226" s="12" t="n">
        <v>2</v>
      </c>
      <c r="L226" s="12" t="n">
        <v>0</v>
      </c>
      <c r="M226" s="12" t="n">
        <v>0</v>
      </c>
      <c r="N226" s="12" t="n">
        <v>0</v>
      </c>
      <c r="O226" s="12" t="n">
        <v>0</v>
      </c>
      <c r="P226" s="12" t="n">
        <v>0</v>
      </c>
    </row>
    <row r="227">
      <c r="A227" s="12" t="inlineStr">
        <is>
          <t>Junk Shield</t>
        </is>
      </c>
      <c r="B227" s="12" t="inlineStr">
        <is>
          <t>LCK</t>
        </is>
      </c>
      <c r="C227" s="12" t="n">
        <v>1</v>
      </c>
      <c r="D227" s="12" t="inlineStr">
        <is>
          <t>catalogued_not_wired</t>
        </is>
      </c>
      <c r="E227" s="12" t="inlineStr">
        <is>
          <t>Likely</t>
        </is>
      </c>
      <c r="F227" s="12" t="inlineStr">
        <is>
          <t>fallout.wiki - Fallout 76 Perks (Luck section)</t>
        </is>
      </c>
      <c r="G227" s="12" t="n">
        <v>0</v>
      </c>
      <c r="H227" s="12" t="n">
        <v>1</v>
      </c>
      <c r="I227" s="12" t="n">
        <v>1</v>
      </c>
      <c r="J227" s="12" t="n">
        <v>1</v>
      </c>
      <c r="K227" s="12" t="n">
        <v>1</v>
      </c>
      <c r="L227" s="12" t="n">
        <v>0</v>
      </c>
      <c r="M227" s="12" t="n">
        <v>0</v>
      </c>
      <c r="N227" s="12" t="n">
        <v>0</v>
      </c>
      <c r="O227" s="12" t="n">
        <v>0</v>
      </c>
      <c r="P227" s="12" t="n">
        <v>0</v>
      </c>
    </row>
    <row r="228">
      <c r="A228" s="12" t="inlineStr">
        <is>
          <t>Last Laugh</t>
        </is>
      </c>
      <c r="B228" s="12" t="inlineStr">
        <is>
          <t>LCK</t>
        </is>
      </c>
      <c r="C228" s="12" t="n">
        <v>1</v>
      </c>
      <c r="D228" s="12" t="inlineStr">
        <is>
          <t>catalogued_not_wired</t>
        </is>
      </c>
      <c r="E228" s="12" t="inlineStr">
        <is>
          <t>Likely</t>
        </is>
      </c>
      <c r="F228" s="12" t="inlineStr">
        <is>
          <t>fallout.wiki - Fallout 76 Perks (Luck section)</t>
        </is>
      </c>
      <c r="G228" s="12" t="n">
        <v>0</v>
      </c>
      <c r="H228" s="12" t="n">
        <v>1</v>
      </c>
      <c r="I228" s="12" t="n">
        <v>1</v>
      </c>
      <c r="J228" s="12" t="n">
        <v>1</v>
      </c>
      <c r="K228" s="12" t="n">
        <v>1</v>
      </c>
      <c r="L228" s="12" t="n">
        <v>0</v>
      </c>
      <c r="M228" s="12" t="n">
        <v>0</v>
      </c>
      <c r="N228" s="12" t="n">
        <v>0</v>
      </c>
      <c r="O228" s="12" t="n">
        <v>0</v>
      </c>
      <c r="P228" s="12" t="n">
        <v>0</v>
      </c>
    </row>
    <row r="229">
      <c r="A229" s="12" t="inlineStr">
        <is>
          <t>Luck of the Draw</t>
        </is>
      </c>
      <c r="B229" s="12" t="inlineStr">
        <is>
          <t>LCK</t>
        </is>
      </c>
      <c r="C229" s="12" t="n">
        <v>3</v>
      </c>
      <c r="D229" s="12" t="inlineStr">
        <is>
          <t>non_combat</t>
        </is>
      </c>
      <c r="E229" s="12" t="inlineStr">
        <is>
          <t>Likely</t>
        </is>
      </c>
      <c r="F229" s="12" t="inlineStr">
        <is>
          <t>fallout.wiki - Fallout 76 Perks (Luck section)</t>
        </is>
      </c>
      <c r="G229" s="12" t="n">
        <v>0</v>
      </c>
      <c r="H229" s="12" t="n">
        <v>1</v>
      </c>
      <c r="I229" s="12" t="n">
        <v>2</v>
      </c>
      <c r="J229" s="12" t="n">
        <v>3</v>
      </c>
      <c r="K229" s="12" t="n">
        <v>3</v>
      </c>
      <c r="L229" s="12" t="n">
        <v>0</v>
      </c>
      <c r="M229" s="12" t="n">
        <v>0</v>
      </c>
      <c r="N229" s="12" t="n">
        <v>0</v>
      </c>
      <c r="O229" s="12" t="n">
        <v>0</v>
      </c>
      <c r="P229" s="12" t="n">
        <v>0</v>
      </c>
    </row>
    <row r="230">
      <c r="A230" s="12" t="inlineStr">
        <is>
          <t>Lucky Break</t>
        </is>
      </c>
      <c r="B230" s="12" t="inlineStr">
        <is>
          <t>LCK</t>
        </is>
      </c>
      <c r="C230" s="12" t="n">
        <v>3</v>
      </c>
      <c r="D230" s="12" t="inlineStr">
        <is>
          <t>non_combat</t>
        </is>
      </c>
      <c r="E230" s="12" t="inlineStr">
        <is>
          <t>Likely</t>
        </is>
      </c>
      <c r="F230" s="12" t="inlineStr">
        <is>
          <t>fallout.wiki - Fallout 76 Perks (Luck section)</t>
        </is>
      </c>
      <c r="G230" s="12" t="n">
        <v>0</v>
      </c>
      <c r="H230" s="12" t="n">
        <v>1</v>
      </c>
      <c r="I230" s="12" t="n">
        <v>2</v>
      </c>
      <c r="J230" s="12" t="n">
        <v>3</v>
      </c>
      <c r="K230" s="12" t="n">
        <v>3</v>
      </c>
      <c r="L230" s="12" t="n">
        <v>0</v>
      </c>
      <c r="M230" s="12" t="n">
        <v>0</v>
      </c>
      <c r="N230" s="12" t="n">
        <v>0</v>
      </c>
      <c r="O230" s="12" t="n">
        <v>0</v>
      </c>
      <c r="P230" s="12" t="n">
        <v>0</v>
      </c>
    </row>
    <row r="231">
      <c r="A231" s="12" t="inlineStr">
        <is>
          <t>Mysterious Savior</t>
        </is>
      </c>
      <c r="B231" s="12" t="inlineStr">
        <is>
          <t>LCK</t>
        </is>
      </c>
      <c r="C231" s="12" t="n">
        <v>3</v>
      </c>
      <c r="D231" s="12" t="inlineStr">
        <is>
          <t>non_combat</t>
        </is>
      </c>
      <c r="E231" s="12" t="inlineStr">
        <is>
          <t>Likely</t>
        </is>
      </c>
      <c r="F231" s="12" t="inlineStr">
        <is>
          <t>fallout.wiki - Fallout 76 Perks (Luck section)</t>
        </is>
      </c>
      <c r="G231" s="12" t="n">
        <v>0</v>
      </c>
      <c r="H231" s="12" t="n">
        <v>1</v>
      </c>
      <c r="I231" s="12" t="n">
        <v>2</v>
      </c>
      <c r="J231" s="12" t="n">
        <v>3</v>
      </c>
      <c r="K231" s="12" t="n">
        <v>3</v>
      </c>
      <c r="L231" s="12" t="n">
        <v>0</v>
      </c>
      <c r="M231" s="12" t="n">
        <v>0</v>
      </c>
      <c r="N231" s="12" t="n">
        <v>0</v>
      </c>
      <c r="O231" s="12" t="n">
        <v>0</v>
      </c>
      <c r="P231" s="12" t="n">
        <v>0</v>
      </c>
    </row>
    <row r="232">
      <c r="A232" s="12" t="inlineStr">
        <is>
          <t>Mysterious Stranger</t>
        </is>
      </c>
      <c r="B232" s="12" t="inlineStr">
        <is>
          <t>LCK</t>
        </is>
      </c>
      <c r="C232" s="12" t="n">
        <v>3</v>
      </c>
      <c r="D232" s="12" t="inlineStr">
        <is>
          <t>catalogued_not_wired</t>
        </is>
      </c>
      <c r="E232" s="12" t="inlineStr">
        <is>
          <t>Likely</t>
        </is>
      </c>
      <c r="F232" s="12" t="inlineStr">
        <is>
          <t>fallout.wiki - Fallout 76 Perks (Luck section)</t>
        </is>
      </c>
      <c r="G232" s="12" t="n">
        <v>0</v>
      </c>
      <c r="H232" s="12" t="n">
        <v>1</v>
      </c>
      <c r="I232" s="12" t="n">
        <v>2</v>
      </c>
      <c r="J232" s="12" t="n">
        <v>3</v>
      </c>
      <c r="K232" s="12" t="n">
        <v>3</v>
      </c>
      <c r="L232" s="12" t="n">
        <v>0</v>
      </c>
      <c r="M232" s="12" t="n">
        <v>0</v>
      </c>
      <c r="N232" s="12" t="n">
        <v>0</v>
      </c>
      <c r="O232" s="12" t="n">
        <v>0</v>
      </c>
      <c r="P232" s="12" t="n">
        <v>0</v>
      </c>
    </row>
    <row r="233">
      <c r="A233" s="12" t="inlineStr">
        <is>
          <t>Mystery Meat</t>
        </is>
      </c>
      <c r="B233" s="12" t="inlineStr">
        <is>
          <t>LCK</t>
        </is>
      </c>
      <c r="C233" s="12" t="n">
        <v>3</v>
      </c>
      <c r="D233" s="12" t="inlineStr">
        <is>
          <t>non_combat</t>
        </is>
      </c>
      <c r="E233" s="12" t="inlineStr">
        <is>
          <t>Likely</t>
        </is>
      </c>
      <c r="F233" s="12" t="inlineStr">
        <is>
          <t>fallout.wiki - Fallout 76 Perks (Luck section)</t>
        </is>
      </c>
      <c r="G233" s="12" t="n">
        <v>0</v>
      </c>
      <c r="H233" s="12" t="n">
        <v>1</v>
      </c>
      <c r="I233" s="12" t="n">
        <v>2</v>
      </c>
      <c r="J233" s="12" t="n">
        <v>3</v>
      </c>
      <c r="K233" s="12" t="n">
        <v>3</v>
      </c>
      <c r="L233" s="12" t="n">
        <v>0</v>
      </c>
      <c r="M233" s="12" t="n">
        <v>0</v>
      </c>
      <c r="N233" s="12" t="n">
        <v>0</v>
      </c>
      <c r="O233" s="12" t="n">
        <v>0</v>
      </c>
      <c r="P233" s="12" t="n">
        <v>0</v>
      </c>
    </row>
    <row r="234">
      <c r="A234" s="12" t="inlineStr">
        <is>
          <t>One Gun Army</t>
        </is>
      </c>
      <c r="B234" s="12" t="inlineStr">
        <is>
          <t>LCK</t>
        </is>
      </c>
      <c r="C234" s="12" t="n">
        <v>3</v>
      </c>
      <c r="D234" s="12" t="inlineStr">
        <is>
          <t>catalogued_not_wired</t>
        </is>
      </c>
      <c r="E234" s="12" t="inlineStr">
        <is>
          <t>Likely</t>
        </is>
      </c>
      <c r="F234" s="12" t="inlineStr">
        <is>
          <t>fallout.wiki - Fallout 76 Perks (Luck section)</t>
        </is>
      </c>
      <c r="G234" s="12" t="n">
        <v>0</v>
      </c>
      <c r="H234" s="12" t="n">
        <v>1</v>
      </c>
      <c r="I234" s="12" t="n">
        <v>2</v>
      </c>
      <c r="J234" s="12" t="n">
        <v>3</v>
      </c>
      <c r="K234" s="12" t="n">
        <v>3</v>
      </c>
      <c r="L234" s="12" t="n">
        <v>0</v>
      </c>
      <c r="M234" s="12" t="n">
        <v>0</v>
      </c>
      <c r="N234" s="12" t="n">
        <v>0</v>
      </c>
      <c r="O234" s="12" t="n">
        <v>0</v>
      </c>
      <c r="P234" s="12" t="n">
        <v>0</v>
      </c>
    </row>
    <row r="235">
      <c r="A235" s="12" t="inlineStr">
        <is>
          <t>Pharma Farma</t>
        </is>
      </c>
      <c r="B235" s="12" t="inlineStr">
        <is>
          <t>LCK</t>
        </is>
      </c>
      <c r="C235" s="12" t="n">
        <v>1</v>
      </c>
      <c r="D235" s="12" t="inlineStr">
        <is>
          <t>non_combat</t>
        </is>
      </c>
      <c r="E235" s="12" t="inlineStr">
        <is>
          <t>Likely</t>
        </is>
      </c>
      <c r="F235" s="12" t="inlineStr">
        <is>
          <t>fallout.wiki - Fallout 76 Perks (Luck section)</t>
        </is>
      </c>
      <c r="G235" s="12" t="n">
        <v>0</v>
      </c>
      <c r="H235" s="12" t="n">
        <v>1</v>
      </c>
      <c r="I235" s="12" t="n">
        <v>1</v>
      </c>
      <c r="J235" s="12" t="n">
        <v>1</v>
      </c>
      <c r="K235" s="12" t="n">
        <v>1</v>
      </c>
      <c r="L235" s="12" t="n">
        <v>0</v>
      </c>
      <c r="M235" s="12" t="n">
        <v>0</v>
      </c>
      <c r="N235" s="12" t="n">
        <v>0</v>
      </c>
      <c r="O235" s="12" t="n">
        <v>0</v>
      </c>
      <c r="P235" s="12" t="n">
        <v>0</v>
      </c>
    </row>
    <row r="236">
      <c r="A236" s="12" t="inlineStr">
        <is>
          <t>Psychopath</t>
        </is>
      </c>
      <c r="B236" s="12" t="inlineStr">
        <is>
          <t>LCK</t>
        </is>
      </c>
      <c r="C236" s="12" t="n">
        <v>1</v>
      </c>
      <c r="D236" s="12" t="inlineStr">
        <is>
          <t>catalogued_not_wired</t>
        </is>
      </c>
      <c r="E236" s="12" t="inlineStr">
        <is>
          <t>Confirmed</t>
        </is>
      </c>
      <c r="F236" s="12" t="inlineStr">
        <is>
          <t>WebSearch cross-check (post-Patch 1.7.21.25 rework); fallout.wiki section fetch</t>
        </is>
      </c>
      <c r="G236" s="12" t="n">
        <v>0</v>
      </c>
      <c r="H236" s="12" t="n">
        <v>2</v>
      </c>
      <c r="I236" s="12" t="n">
        <v>2</v>
      </c>
      <c r="J236" s="12" t="n">
        <v>2</v>
      </c>
      <c r="K236" s="12" t="n">
        <v>2</v>
      </c>
      <c r="L236" s="12" t="n">
        <v>0</v>
      </c>
      <c r="M236" s="12" t="n">
        <v>0</v>
      </c>
      <c r="N236" s="12" t="n">
        <v>0</v>
      </c>
      <c r="O236" s="12" t="n">
        <v>0</v>
      </c>
      <c r="P236" s="12" t="n">
        <v>0</v>
      </c>
    </row>
    <row r="237">
      <c r="A237" s="12" t="inlineStr">
        <is>
          <t>Quick Hands</t>
        </is>
      </c>
      <c r="B237" s="12" t="inlineStr">
        <is>
          <t>LCK</t>
        </is>
      </c>
      <c r="C237" s="12" t="n">
        <v>3</v>
      </c>
      <c r="D237" s="12" t="inlineStr">
        <is>
          <t>catalogued_not_wired</t>
        </is>
      </c>
      <c r="E237" s="12" t="inlineStr">
        <is>
          <t>Likely</t>
        </is>
      </c>
      <c r="F237" s="12" t="inlineStr">
        <is>
          <t>fallout.wiki - Fallout 76 Perks (Luck section)</t>
        </is>
      </c>
      <c r="G237" s="12" t="n">
        <v>0</v>
      </c>
      <c r="H237" s="12" t="n">
        <v>1</v>
      </c>
      <c r="I237" s="12" t="n">
        <v>2</v>
      </c>
      <c r="J237" s="12" t="n">
        <v>3</v>
      </c>
      <c r="K237" s="12" t="n">
        <v>3</v>
      </c>
      <c r="L237" s="12" t="n">
        <v>0</v>
      </c>
      <c r="M237" s="12" t="n">
        <v>0</v>
      </c>
      <c r="N237" s="12" t="n">
        <v>0</v>
      </c>
      <c r="O237" s="12" t="n">
        <v>0</v>
      </c>
      <c r="P237" s="12" t="n">
        <v>0</v>
      </c>
    </row>
    <row r="238">
      <c r="A238" s="12" t="inlineStr">
        <is>
          <t>Ricochet</t>
        </is>
      </c>
      <c r="B238" s="12" t="inlineStr">
        <is>
          <t>LCK</t>
        </is>
      </c>
      <c r="C238" s="12" t="n">
        <v>1</v>
      </c>
      <c r="D238" s="12" t="inlineStr">
        <is>
          <t>catalogued_not_wired</t>
        </is>
      </c>
      <c r="E238" s="12" t="inlineStr">
        <is>
          <t>Likely</t>
        </is>
      </c>
      <c r="F238" s="12" t="inlineStr">
        <is>
          <t>fallout.wiki - Fallout 76 Perks (Luck section)</t>
        </is>
      </c>
      <c r="G238" s="12" t="n">
        <v>0</v>
      </c>
      <c r="H238" s="12" t="n">
        <v>1</v>
      </c>
      <c r="I238" s="12" t="n">
        <v>1</v>
      </c>
      <c r="J238" s="12" t="n">
        <v>1</v>
      </c>
      <c r="K238" s="12" t="n">
        <v>1</v>
      </c>
      <c r="L238" s="12" t="n">
        <v>0</v>
      </c>
      <c r="M238" s="12" t="n">
        <v>0</v>
      </c>
      <c r="N238" s="12" t="n">
        <v>0</v>
      </c>
      <c r="O238" s="12" t="n">
        <v>0</v>
      </c>
      <c r="P238" s="12" t="n">
        <v>0</v>
      </c>
    </row>
    <row r="239">
      <c r="A239" s="12" t="inlineStr">
        <is>
          <t>Scrounger</t>
        </is>
      </c>
      <c r="B239" s="12" t="inlineStr">
        <is>
          <t>LCK</t>
        </is>
      </c>
      <c r="C239" s="12" t="n">
        <v>1</v>
      </c>
      <c r="D239" s="12" t="inlineStr">
        <is>
          <t>non_combat</t>
        </is>
      </c>
      <c r="E239" s="12" t="inlineStr">
        <is>
          <t>Likely</t>
        </is>
      </c>
      <c r="F239" s="12" t="inlineStr">
        <is>
          <t>fallout.wiki - Fallout 76 Perks (Luck section)</t>
        </is>
      </c>
      <c r="G239" s="12" t="n">
        <v>0</v>
      </c>
      <c r="H239" s="12" t="n">
        <v>1</v>
      </c>
      <c r="I239" s="12" t="n">
        <v>1</v>
      </c>
      <c r="J239" s="12" t="n">
        <v>1</v>
      </c>
      <c r="K239" s="12" t="n">
        <v>1</v>
      </c>
      <c r="L239" s="12" t="n">
        <v>0</v>
      </c>
      <c r="M239" s="12" t="n">
        <v>0</v>
      </c>
      <c r="N239" s="12" t="n">
        <v>0</v>
      </c>
      <c r="O239" s="12" t="n">
        <v>0</v>
      </c>
      <c r="P239" s="12" t="n">
        <v>0</v>
      </c>
    </row>
    <row r="240">
      <c r="A240" s="12" t="inlineStr">
        <is>
          <t>Serendipity</t>
        </is>
      </c>
      <c r="B240" s="12" t="inlineStr">
        <is>
          <t>LCK</t>
        </is>
      </c>
      <c r="C240" s="12" t="n">
        <v>1</v>
      </c>
      <c r="D240" s="12" t="inlineStr">
        <is>
          <t>catalogued_not_wired</t>
        </is>
      </c>
      <c r="E240" s="12" t="inlineStr">
        <is>
          <t>Likely</t>
        </is>
      </c>
      <c r="F240" s="12" t="inlineStr">
        <is>
          <t>fallout.wiki - Fallout 76 Perks (Luck section)</t>
        </is>
      </c>
      <c r="G240" s="12" t="n">
        <v>0</v>
      </c>
      <c r="H240" s="12" t="n">
        <v>1</v>
      </c>
      <c r="I240" s="12" t="n">
        <v>1</v>
      </c>
      <c r="J240" s="12" t="n">
        <v>1</v>
      </c>
      <c r="K240" s="12" t="n">
        <v>1</v>
      </c>
      <c r="L240" s="12" t="n">
        <v>0</v>
      </c>
      <c r="M240" s="12" t="n">
        <v>0</v>
      </c>
      <c r="N240" s="12" t="n">
        <v>0</v>
      </c>
      <c r="O240" s="12" t="n">
        <v>0</v>
      </c>
      <c r="P240" s="12" t="n">
        <v>0</v>
      </c>
    </row>
    <row r="241">
      <c r="A241" s="12" t="inlineStr">
        <is>
          <t>Storm Chaser</t>
        </is>
      </c>
      <c r="B241" s="12" t="inlineStr">
        <is>
          <t>LCK</t>
        </is>
      </c>
      <c r="C241" s="12" t="n">
        <v>2</v>
      </c>
      <c r="D241" s="12" t="inlineStr">
        <is>
          <t>non_combat</t>
        </is>
      </c>
      <c r="E241" s="12" t="inlineStr">
        <is>
          <t>Likely</t>
        </is>
      </c>
      <c r="F241" s="12" t="inlineStr">
        <is>
          <t>fallout.wiki - Fallout 76 Perks (Luck section)</t>
        </is>
      </c>
      <c r="G241" s="12" t="n">
        <v>0</v>
      </c>
      <c r="H241" s="12" t="n">
        <v>1</v>
      </c>
      <c r="I241" s="12" t="n">
        <v>2</v>
      </c>
      <c r="J241" s="12" t="n">
        <v>2</v>
      </c>
      <c r="K241" s="12" t="n">
        <v>2</v>
      </c>
      <c r="L241" s="12" t="n">
        <v>0</v>
      </c>
      <c r="M241" s="12" t="n">
        <v>0</v>
      </c>
      <c r="N241" s="12" t="n">
        <v>0</v>
      </c>
      <c r="O241" s="12" t="n">
        <v>0</v>
      </c>
      <c r="P241" s="12" t="n">
        <v>0</v>
      </c>
    </row>
    <row r="242">
      <c r="A242" s="12" t="inlineStr">
        <is>
          <t>Super Duper</t>
        </is>
      </c>
      <c r="B242" s="12" t="inlineStr">
        <is>
          <t>LCK</t>
        </is>
      </c>
      <c r="C242" s="12" t="n">
        <v>3</v>
      </c>
      <c r="D242" s="12" t="inlineStr">
        <is>
          <t>non_combat</t>
        </is>
      </c>
      <c r="E242" s="12" t="inlineStr">
        <is>
          <t>Likely</t>
        </is>
      </c>
      <c r="F242" s="12" t="inlineStr">
        <is>
          <t>fallout.wiki - Fallout 76 Perks (Luck section)</t>
        </is>
      </c>
      <c r="G242" s="12" t="n">
        <v>0</v>
      </c>
      <c r="H242" s="12" t="n">
        <v>1</v>
      </c>
      <c r="I242" s="12" t="n">
        <v>2</v>
      </c>
      <c r="J242" s="12" t="n">
        <v>3</v>
      </c>
      <c r="K242" s="12" t="n">
        <v>3</v>
      </c>
      <c r="L242" s="12" t="n">
        <v>0</v>
      </c>
      <c r="M242" s="12" t="n">
        <v>0</v>
      </c>
      <c r="N242" s="12" t="n">
        <v>0</v>
      </c>
      <c r="O242" s="12" t="n">
        <v>0</v>
      </c>
      <c r="P242" s="12" t="n">
        <v>0</v>
      </c>
    </row>
    <row r="243">
      <c r="A243" s="12" t="inlineStr">
        <is>
          <t>Woodchucker</t>
        </is>
      </c>
      <c r="B243" s="12" t="inlineStr">
        <is>
          <t>LCK</t>
        </is>
      </c>
      <c r="C243" s="12" t="n">
        <v>1</v>
      </c>
      <c r="D243" s="12" t="inlineStr">
        <is>
          <t>non_combat</t>
        </is>
      </c>
      <c r="E243" s="12" t="inlineStr">
        <is>
          <t>Likely</t>
        </is>
      </c>
      <c r="F243" s="12" t="inlineStr">
        <is>
          <t>fallout.wiki - Fallout 76 Perks (Luck section)</t>
        </is>
      </c>
      <c r="G243" s="12" t="n">
        <v>0</v>
      </c>
      <c r="H243" s="12" t="n">
        <v>1</v>
      </c>
      <c r="I243" s="12" t="n">
        <v>1</v>
      </c>
      <c r="J243" s="12" t="n">
        <v>1</v>
      </c>
      <c r="K243" s="12" t="n">
        <v>1</v>
      </c>
      <c r="L243" s="12" t="n">
        <v>0</v>
      </c>
      <c r="M243" s="12" t="n">
        <v>0</v>
      </c>
      <c r="N243" s="12" t="n">
        <v>0</v>
      </c>
      <c r="O243" s="12" t="n">
        <v>0</v>
      </c>
      <c r="P243" s="12" t="n">
        <v>0</v>
      </c>
    </row>
    <row r="244">
      <c r="A244" s="12" t="inlineStr">
        <is>
          <t>Battle-Genes</t>
        </is>
      </c>
      <c r="B244" s="12" t="inlineStr">
        <is>
          <t>LCK</t>
        </is>
      </c>
      <c r="C244" s="12" t="n">
        <v>2</v>
      </c>
      <c r="D244" s="12" t="inlineStr">
        <is>
          <t>non_combat</t>
        </is>
      </c>
      <c r="E244" s="12" t="inlineStr">
        <is>
          <t>Likely</t>
        </is>
      </c>
      <c r="F244" s="12" t="inlineStr">
        <is>
          <t>fallout.wiki - Fallout 76 Perks (Ghoul Luck section)</t>
        </is>
      </c>
      <c r="G244" s="12" t="n">
        <v>0</v>
      </c>
      <c r="H244" s="12" t="n">
        <v>1</v>
      </c>
      <c r="I244" s="12" t="n">
        <v>2</v>
      </c>
      <c r="J244" s="12" t="n">
        <v>2</v>
      </c>
      <c r="K244" s="12" t="n">
        <v>2</v>
      </c>
      <c r="L244" s="12" t="n">
        <v>0</v>
      </c>
      <c r="M244" s="12" t="n">
        <v>0</v>
      </c>
      <c r="N244" s="12" t="n">
        <v>0</v>
      </c>
      <c r="O244" s="12" t="n">
        <v>0</v>
      </c>
      <c r="P244" s="12" t="n">
        <v>0</v>
      </c>
    </row>
    <row r="245">
      <c r="A245" s="12" t="inlineStr">
        <is>
          <t>Faulty Spots</t>
        </is>
      </c>
      <c r="B245" s="12" t="inlineStr">
        <is>
          <t>LCK</t>
        </is>
      </c>
      <c r="C245" s="12" t="n">
        <v>1</v>
      </c>
      <c r="D245" s="12" t="inlineStr">
        <is>
          <t>dmg_weakspot_flat</t>
        </is>
      </c>
      <c r="E245" s="12" t="inlineStr">
        <is>
          <t>Likely</t>
        </is>
      </c>
      <c r="F245" s="12" t="inlineStr">
        <is>
          <t>fallout.wiki - Fallout 76 Perks (Ghoul Luck section)</t>
        </is>
      </c>
      <c r="G245" s="12" t="n">
        <v>0</v>
      </c>
      <c r="H245" s="12" t="n">
        <v>2</v>
      </c>
      <c r="I245" s="12" t="n">
        <v>2</v>
      </c>
      <c r="J245" s="12" t="n">
        <v>2</v>
      </c>
      <c r="K245" s="12" t="n">
        <v>2</v>
      </c>
      <c r="L245" s="12" t="n">
        <v>0</v>
      </c>
      <c r="M245" s="12" t="n">
        <v>0.15</v>
      </c>
      <c r="N245" s="12" t="n">
        <v>0</v>
      </c>
      <c r="O245" s="12" t="n">
        <v>0</v>
      </c>
      <c r="P245" s="12" t="n">
        <v>0</v>
      </c>
    </row>
    <row r="246">
      <c r="A246" s="12" t="inlineStr">
        <is>
          <t>Glowing Criticals</t>
        </is>
      </c>
      <c r="B246" s="12" t="inlineStr">
        <is>
          <t>LCK</t>
        </is>
      </c>
      <c r="C246" s="12" t="n">
        <v>3</v>
      </c>
      <c r="D246" s="12" t="inlineStr">
        <is>
          <t>crit_mult_bonus_glow_gated</t>
        </is>
      </c>
      <c r="E246" s="12" t="inlineStr">
        <is>
          <t>Confirmed</t>
        </is>
      </c>
      <c r="F246" s="12" t="inlineStr">
        <is>
          <t>fallout.wiki - Fallout 76 Perks (Ghoul Luck section) (cross-checked this session)</t>
        </is>
      </c>
      <c r="G246" s="12" t="n">
        <v>0</v>
      </c>
      <c r="H246" s="12" t="n">
        <v>1</v>
      </c>
      <c r="I246" s="12" t="n">
        <v>2</v>
      </c>
      <c r="J246" s="12" t="n">
        <v>3</v>
      </c>
      <c r="K246" s="12" t="n">
        <v>3</v>
      </c>
      <c r="L246" s="12" t="n">
        <v>0</v>
      </c>
      <c r="M246" s="12" t="n">
        <v>0.2</v>
      </c>
      <c r="N246" s="12" t="n">
        <v>0.35</v>
      </c>
      <c r="O246" s="12" t="n">
        <v>0.5</v>
      </c>
      <c r="P246" s="12" t="n">
        <v>0</v>
      </c>
    </row>
    <row r="247">
      <c r="A247" s="12" t="inlineStr">
        <is>
          <t>Wild West Hands</t>
        </is>
      </c>
      <c r="B247" s="12" t="inlineStr">
        <is>
          <t>LCK</t>
        </is>
      </c>
      <c r="C247" s="12" t="n">
        <v>3</v>
      </c>
      <c r="D247" s="12" t="inlineStr">
        <is>
          <t>reload_reliability_pct</t>
        </is>
      </c>
      <c r="E247" s="12" t="inlineStr">
        <is>
          <t>Likely</t>
        </is>
      </c>
      <c r="F247" s="12" t="inlineStr">
        <is>
          <t>fallout.wiki - Fallout 76 Perks (Ghoul Luck section)</t>
        </is>
      </c>
      <c r="G247" s="12" t="n">
        <v>0</v>
      </c>
      <c r="H247" s="12" t="n">
        <v>1</v>
      </c>
      <c r="I247" s="12" t="n">
        <v>2</v>
      </c>
      <c r="J247" s="12" t="n">
        <v>3</v>
      </c>
      <c r="K247" s="12" t="n">
        <v>3</v>
      </c>
      <c r="L247" s="12" t="n">
        <v>0</v>
      </c>
      <c r="M247" s="12" t="n">
        <v>0.12</v>
      </c>
      <c r="N247" s="12" t="n">
        <v>0.24</v>
      </c>
      <c r="O247" s="12" t="n">
        <v>0.36</v>
      </c>
      <c r="P247" s="12" t="n">
        <v>0</v>
      </c>
    </row>
  </sheetData>
  <autoFilter ref="A4:P247"/>
  <mergeCells count="1">
    <mergeCell ref="A2:N2"/>
  </mergeCells>
  <pageMargins left="0.75" right="0.75" top="1" bottom="1" header="0.5" footer="0.5"/>
</worksheet>
</file>

<file path=xl/worksheets/sheet9.xml><?xml version="1.0" encoding="utf-8"?>
<worksheet xmlns="http://schemas.openxmlformats.org/spreadsheetml/2006/main">
  <sheetPr>
    <tabColor rgb="00AAAAAA"/>
    <outlinePr summaryBelow="1" summaryRight="1"/>
    <pageSetUpPr/>
  </sheetPr>
  <dimension ref="A1:G22"/>
  <sheetViews>
    <sheetView tabSelected="0" workbookViewId="0">
      <pane ySplit="4" topLeftCell="A5" activePane="bottomLeft" state="frozen"/>
      <selection pane="bottomLeft" activeCell="A1" sqref="A1"/>
    </sheetView>
  </sheetViews>
  <sheetFormatPr baseColWidth="8" defaultRowHeight="15"/>
  <cols>
    <col width="20" customWidth="1" min="1" max="1"/>
    <col width="8" customWidth="1" min="2" max="2"/>
    <col width="30" customWidth="1" min="3" max="3"/>
    <col width="10" customWidth="1" min="4" max="4"/>
    <col width="14" customWidth="1" min="5" max="5"/>
    <col width="48" customWidth="1" min="6" max="6"/>
  </cols>
  <sheetData>
    <row r="1">
      <c r="A1" s="1" t="inlineStr">
        <is>
          <t>Legendary Values (helper) — bucket-tagged numbers the Weapon Comparison sheet pulls from</t>
        </is>
      </c>
    </row>
    <row r="2" ht="30" customHeight="1">
      <c r="A2" s="2" t="inlineStr">
        <is>
          <t>Each weapon legendary star slot (1/2/3/4) picks one Effect from this list by name; the Weapon Comparison sheet looks up its Bucket and Value with SUMIFS, so it contributes to the right part of the math automatically. 'per_stack' buckets multiply Value by the live Onslaught-stack input.</t>
        </is>
      </c>
    </row>
    <row r="4">
      <c r="A4" s="6" t="inlineStr">
        <is>
          <t>Effect</t>
        </is>
      </c>
      <c r="B4" s="6" t="inlineStr">
        <is>
          <t>Star</t>
        </is>
      </c>
      <c r="C4" s="6" t="inlineStr">
        <is>
          <t>Bucket</t>
        </is>
      </c>
      <c r="D4" s="6" t="inlineStr">
        <is>
          <t>Value</t>
        </is>
      </c>
      <c r="E4" s="6" t="inlineStr">
        <is>
          <t>Confidence</t>
        </is>
      </c>
      <c r="F4" s="6" t="inlineStr">
        <is>
          <t>Source</t>
        </is>
      </c>
    </row>
    <row r="5">
      <c r="A5" s="12" t="inlineStr">
        <is>
          <t>None</t>
        </is>
      </c>
      <c r="B5" s="12" t="n">
        <v>0</v>
      </c>
      <c r="C5" s="12" t="inlineStr">
        <is>
          <t>none</t>
        </is>
      </c>
      <c r="D5" s="12" t="n">
        <v>0</v>
      </c>
      <c r="E5" s="12" t="inlineStr">
        <is>
          <t>Confirmed</t>
        </is>
      </c>
      <c r="F5" s="12" t="inlineStr">
        <is>
          <t>this workbook</t>
        </is>
      </c>
    </row>
    <row r="6">
      <c r="A6" s="12" t="inlineStr">
        <is>
          <t>Furious</t>
        </is>
      </c>
      <c r="B6" s="12" t="n">
        <v>1</v>
      </c>
      <c r="C6" s="12" t="inlineStr">
        <is>
          <t>dmg_general_per_onslaught_stack</t>
        </is>
      </c>
      <c r="D6" s="12" t="n">
        <v>0.05</v>
      </c>
      <c r="E6" s="12" t="inlineStr">
        <is>
          <t>Confirmed</t>
        </is>
      </c>
      <c r="F6" s="12" t="inlineStr">
        <is>
          <t>Fallout 76 Wiki - Furious</t>
        </is>
      </c>
    </row>
    <row r="7">
      <c r="A7" s="12" t="inlineStr">
        <is>
          <t>Quad</t>
        </is>
      </c>
      <c r="B7" s="12" t="n">
        <v>1</v>
      </c>
      <c r="C7" s="12" t="inlineStr">
        <is>
          <t>magsize_mult_bonus</t>
        </is>
      </c>
      <c r="D7" s="12" t="n">
        <v>3</v>
      </c>
      <c r="E7" s="12" t="inlineStr">
        <is>
          <t>Confirmed</t>
        </is>
      </c>
      <c r="F7" s="12" t="inlineStr">
        <is>
          <t>Fallout 76 Wiki (x4 total capacity = +3x)</t>
        </is>
      </c>
    </row>
    <row r="8">
      <c r="A8" s="12" t="inlineStr">
        <is>
          <t>Anti-Armor</t>
        </is>
      </c>
      <c r="B8" s="12" t="n">
        <v>1</v>
      </c>
      <c r="C8" s="12" t="inlineStr">
        <is>
          <t>target_dr_reduction_mult</t>
        </is>
      </c>
      <c r="D8" s="12" t="n">
        <v>0.5</v>
      </c>
      <c r="E8" s="12" t="inlineStr">
        <is>
          <t>Confirmed</t>
        </is>
      </c>
      <c r="F8" s="12" t="inlineStr">
        <is>
          <t>Fallout 76 Wiki - Anti-Armor</t>
        </is>
      </c>
    </row>
    <row r="9">
      <c r="A9" s="12" t="inlineStr">
        <is>
          <t>Rapid</t>
        </is>
      </c>
      <c r="B9" s="12" t="n">
        <v>2</v>
      </c>
      <c r="C9" s="12" t="inlineStr">
        <is>
          <t>firerate_mult_bonus</t>
        </is>
      </c>
      <c r="D9" s="12" t="n">
        <v>0.25</v>
      </c>
      <c r="E9" s="12" t="inlineStr">
        <is>
          <t>Confirmed</t>
        </is>
      </c>
      <c r="F9" s="12" t="inlineStr">
        <is>
          <t>Fallout 76 Wiki</t>
        </is>
      </c>
    </row>
    <row r="10">
      <c r="A10" s="12" t="inlineStr">
        <is>
          <t>Vital</t>
        </is>
      </c>
      <c r="B10" s="12" t="n">
        <v>2</v>
      </c>
      <c r="C10" s="12" t="inlineStr">
        <is>
          <t>crit_mult_bonus</t>
        </is>
      </c>
      <c r="D10" s="12" t="n">
        <v>0.5</v>
      </c>
      <c r="E10" s="12" t="inlineStr">
        <is>
          <t>Confirmed</t>
        </is>
      </c>
      <c r="F10" s="12" t="inlineStr">
        <is>
          <t>Fallout 76 Wiki</t>
        </is>
      </c>
    </row>
    <row r="11">
      <c r="A11" s="12" t="inlineStr">
        <is>
          <t>Explosive</t>
        </is>
      </c>
      <c r="B11" s="12" t="n">
        <v>2</v>
      </c>
      <c r="C11" s="12" t="inlineStr">
        <is>
          <t>explosion_dmg_pct</t>
        </is>
      </c>
      <c r="D11" s="12" t="n">
        <v>0.2</v>
      </c>
      <c r="E11" s="12" t="inlineStr">
        <is>
          <t>Confirmed</t>
        </is>
      </c>
      <c r="F11" s="12" t="inlineStr">
        <is>
          <t>Fallout 76 Wiki</t>
        </is>
      </c>
    </row>
    <row r="12">
      <c r="A12" s="12" t="inlineStr">
        <is>
          <t>Lucky Hit</t>
        </is>
      </c>
      <c r="B12" s="12" t="n">
        <v>3</v>
      </c>
      <c r="C12" s="12" t="inlineStr">
        <is>
          <t>crit_meter_fill_bonus</t>
        </is>
      </c>
      <c r="D12" s="12" t="n">
        <v>0</v>
      </c>
      <c r="E12" s="12" t="inlineStr">
        <is>
          <t>Confirmed</t>
        </is>
      </c>
      <c r="F12" s="12" t="inlineStr">
        <is>
          <t>Fallout 76 Wiki (resource only, not modeled numerically)</t>
        </is>
      </c>
    </row>
    <row r="13">
      <c r="A13" s="12" t="inlineStr">
        <is>
          <t>V.A.T.S. Optimized</t>
        </is>
      </c>
      <c r="B13" s="12" t="n">
        <v>3</v>
      </c>
      <c r="C13" s="12" t="inlineStr">
        <is>
          <t>apcost_mult_reduction</t>
        </is>
      </c>
      <c r="D13" s="12" t="n">
        <v>0.35</v>
      </c>
      <c r="E13" s="12" t="inlineStr">
        <is>
          <t>Confirmed</t>
        </is>
      </c>
      <c r="F13" s="12" t="inlineStr">
        <is>
          <t>Fallout 76 Wiki</t>
        </is>
      </c>
    </row>
    <row r="14">
      <c r="A14" s="12" t="inlineStr">
        <is>
          <t>Swift</t>
        </is>
      </c>
      <c r="B14" s="12" t="n">
        <v>3</v>
      </c>
      <c r="C14" s="12" t="inlineStr">
        <is>
          <t>reload_mult_reduction</t>
        </is>
      </c>
      <c r="D14" s="12" t="n">
        <v>0.15</v>
      </c>
      <c r="E14" s="12" t="inlineStr">
        <is>
          <t>Confirmed</t>
        </is>
      </c>
      <c r="F14" s="12" t="inlineStr">
        <is>
          <t>Fallout 76 Wiki</t>
        </is>
      </c>
    </row>
    <row r="15">
      <c r="A15" s="12" t="inlineStr">
        <is>
          <t>Conductor's</t>
        </is>
      </c>
      <c r="B15" s="12" t="n">
        <v>4</v>
      </c>
      <c r="C15" s="12" t="inlineStr">
        <is>
          <t>resource_restore_only</t>
        </is>
      </c>
      <c r="D15" s="12" t="n">
        <v>0</v>
      </c>
      <c r="E15" s="12" t="inlineStr">
        <is>
          <t>Confirmed</t>
        </is>
      </c>
      <c r="F15" s="12" t="inlineStr">
        <is>
          <t>Fallout 76 Wiki (adds no damage)</t>
        </is>
      </c>
    </row>
    <row r="16">
      <c r="A16" s="12" t="inlineStr">
        <is>
          <t>Pin-Pointer's</t>
        </is>
      </c>
      <c r="B16" s="12" t="n">
        <v>4</v>
      </c>
      <c r="C16" s="12" t="inlineStr">
        <is>
          <t>dmg_weakspot</t>
        </is>
      </c>
      <c r="D16" s="12" t="n">
        <v>0.2</v>
      </c>
      <c r="E16" s="12" t="inlineStr">
        <is>
          <t>Confirmed</t>
        </is>
      </c>
      <c r="F16" s="12" t="inlineStr">
        <is>
          <t>Fallout 76 Wiki</t>
        </is>
      </c>
    </row>
    <row r="17">
      <c r="A17" s="12" t="inlineStr">
        <is>
          <t>Bully's</t>
        </is>
      </c>
      <c r="B17" s="12" t="n">
        <v>4</v>
      </c>
      <c r="C17" s="12" t="inlineStr">
        <is>
          <t>dmg_general_per_crippled_limb</t>
        </is>
      </c>
      <c r="D17" s="12" t="n">
        <v>0.25</v>
      </c>
      <c r="E17" s="12" t="inlineStr">
        <is>
          <t>Confirmed</t>
        </is>
      </c>
      <c r="F17" s="12" t="inlineStr">
        <is>
          <t>Fallout 76 Wiki</t>
        </is>
      </c>
    </row>
    <row r="18">
      <c r="A18" s="12" t="inlineStr">
        <is>
          <t>Severing</t>
        </is>
      </c>
      <c r="B18" s="12" t="n">
        <v>4</v>
      </c>
      <c r="C18" s="12" t="inlineStr">
        <is>
          <t>dmg_vs_bleeding</t>
        </is>
      </c>
      <c r="D18" s="12" t="n">
        <v>0.5</v>
      </c>
      <c r="E18" s="12" t="inlineStr">
        <is>
          <t>Confirmed</t>
        </is>
      </c>
      <c r="F18" s="12" t="inlineStr">
        <is>
          <t>Bethesda - The Slasher release notes</t>
        </is>
      </c>
    </row>
    <row r="19">
      <c r="A19" s="12" t="inlineStr">
        <is>
          <t>Polished</t>
        </is>
      </c>
      <c r="B19" s="12" t="n">
        <v>4</v>
      </c>
      <c r="C19" s="12" t="inlineStr">
        <is>
          <t>dmg_general_flat_bonus</t>
        </is>
      </c>
      <c r="D19" s="12" t="n">
        <v>0.6</v>
      </c>
      <c r="E19" s="12" t="inlineStr">
        <is>
          <t>Confirmed</t>
        </is>
      </c>
      <c r="F19" s="12" t="inlineStr">
        <is>
          <t>Fallout 76 Wiki (at &gt;=190% condition; set lower manually if your gear isn't there)</t>
        </is>
      </c>
    </row>
    <row r="20">
      <c r="A20" s="12" t="inlineStr">
        <is>
          <t>Tarnished</t>
        </is>
      </c>
      <c r="B20" s="12" t="n">
        <v>4</v>
      </c>
      <c r="C20" s="12" t="inlineStr">
        <is>
          <t>dmg_general_flat_bonus</t>
        </is>
      </c>
      <c r="D20" s="12" t="n">
        <v>1.2</v>
      </c>
      <c r="E20" s="12" t="inlineStr">
        <is>
          <t>Confirmed</t>
        </is>
      </c>
      <c r="F20" s="12" t="inlineStr">
        <is>
          <t>Fallout 76 Wiki (at very low durability; set lower manually otherwise)</t>
        </is>
      </c>
    </row>
    <row r="21">
      <c r="A21" s="12" t="inlineStr">
        <is>
          <t>Pyromaniac's</t>
        </is>
      </c>
      <c r="B21" s="12" t="n">
        <v>4</v>
      </c>
      <c r="C21" s="12" t="inlineStr">
        <is>
          <t>dmg_vs_burning</t>
        </is>
      </c>
      <c r="D21" s="12" t="n">
        <v>0.5</v>
      </c>
      <c r="E21" s="12" t="inlineStr">
        <is>
          <t>Confirmed</t>
        </is>
      </c>
      <c r="F21" s="12" t="inlineStr">
        <is>
          <t>Fallout 76 Wiki</t>
        </is>
      </c>
    </row>
    <row r="22">
      <c r="A22" s="12" t="inlineStr">
        <is>
          <t>Encircler's</t>
        </is>
      </c>
      <c r="B22" s="12" t="n">
        <v>4</v>
      </c>
      <c r="C22" s="12" t="inlineStr">
        <is>
          <t>dmg_general_flat_bonus</t>
        </is>
      </c>
      <c r="D22" s="12" t="n">
        <v>0.5</v>
      </c>
      <c r="E22" s="12" t="inlineStr">
        <is>
          <t>Confirmed</t>
        </is>
      </c>
      <c r="F22" s="12" t="inlineStr">
        <is>
          <t>Fallout 76 Wiki (at max nearby-enemy count; scales down with fewer enemies)</t>
        </is>
      </c>
    </row>
  </sheetData>
  <autoFilter ref="A4:F22"/>
  <mergeCells count="1">
    <mergeCell ref="A2:G2"/>
  </mergeCells>
  <pageMargins left="0.75" right="0.75" top="1" bottom="1" header="0.5" footer="0.5"/>
</worksheet>
</file>

<file path=xl/worksheets/sheet10.xml><?xml version="1.0" encoding="utf-8"?>
<worksheet xmlns="http://schemas.openxmlformats.org/spreadsheetml/2006/main">
  <sheetPr>
    <tabColor rgb="00AAAAAA"/>
    <outlinePr summaryBelow="1" summaryRight="1"/>
    <pageSetUpPr/>
  </sheetPr>
  <dimension ref="A1:IQ6"/>
  <sheetViews>
    <sheetView tabSelected="0" workbookViewId="0">
      <pane ySplit="4" topLeftCell="A5" activePane="bottomLeft" state="frozen"/>
      <selection pane="bottomLeft" activeCell="A1" sqref="A1"/>
    </sheetView>
  </sheetViews>
  <sheetFormatPr baseColWidth="8" defaultRowHeight="15"/>
  <cols>
    <col width="36" customWidth="1" min="1" max="1"/>
    <col width="6" customWidth="1" min="2" max="2"/>
    <col width="6" customWidth="1" min="3" max="3"/>
    <col width="6" customWidth="1" min="4" max="4"/>
    <col width="6" customWidth="1" min="5" max="5"/>
    <col width="6" customWidth="1" min="6" max="6"/>
    <col width="6" customWidth="1" min="7" max="7"/>
    <col width="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16" customWidth="1" min="93" max="93"/>
    <col width="16" customWidth="1" min="94" max="94"/>
    <col width="16" customWidth="1" min="95" max="95"/>
    <col width="16" customWidth="1" min="96" max="96"/>
    <col width="16" customWidth="1" min="97" max="97"/>
    <col width="16" customWidth="1" min="98" max="98"/>
    <col width="16" customWidth="1" min="99" max="99"/>
    <col width="16" customWidth="1" min="100" max="100"/>
    <col width="16" customWidth="1" min="101" max="101"/>
    <col width="16" customWidth="1" min="102" max="102"/>
    <col width="16" customWidth="1" min="103" max="103"/>
    <col width="16" customWidth="1" min="104" max="104"/>
    <col width="16" customWidth="1" min="105" max="105"/>
    <col width="16" customWidth="1" min="106" max="106"/>
    <col width="16" customWidth="1" min="107" max="107"/>
    <col width="16" customWidth="1" min="108" max="108"/>
    <col width="16" customWidth="1" min="109" max="109"/>
    <col width="16" customWidth="1" min="110" max="110"/>
    <col width="16" customWidth="1" min="111" max="111"/>
    <col width="16" customWidth="1" min="112" max="112"/>
    <col width="16" customWidth="1" min="113" max="113"/>
    <col width="16" customWidth="1" min="114" max="114"/>
    <col width="16" customWidth="1" min="115" max="115"/>
    <col width="16" customWidth="1" min="116" max="116"/>
    <col width="16" customWidth="1" min="117" max="117"/>
    <col width="16" customWidth="1" min="118" max="118"/>
    <col width="16" customWidth="1" min="119" max="119"/>
    <col width="16" customWidth="1" min="120" max="120"/>
    <col width="16" customWidth="1" min="121" max="121"/>
    <col width="16" customWidth="1" min="122" max="122"/>
    <col width="16" customWidth="1" min="123" max="123"/>
    <col width="16" customWidth="1" min="124" max="124"/>
    <col width="16" customWidth="1" min="125" max="125"/>
    <col width="16" customWidth="1" min="126" max="126"/>
    <col width="16" customWidth="1" min="127" max="127"/>
    <col width="16" customWidth="1" min="128" max="128"/>
    <col width="16" customWidth="1" min="129" max="129"/>
    <col width="16" customWidth="1" min="130" max="130"/>
    <col width="16" customWidth="1" min="131" max="131"/>
    <col width="16" customWidth="1" min="132" max="132"/>
    <col width="16" customWidth="1" min="133" max="133"/>
    <col width="16" customWidth="1" min="134" max="134"/>
    <col width="16" customWidth="1" min="135" max="135"/>
    <col width="16" customWidth="1" min="136" max="136"/>
    <col width="16" customWidth="1" min="137" max="137"/>
    <col width="16" customWidth="1" min="138" max="138"/>
    <col width="16" customWidth="1" min="139" max="139"/>
    <col width="16" customWidth="1" min="140" max="140"/>
    <col width="16" customWidth="1" min="141" max="141"/>
    <col width="16" customWidth="1" min="142" max="142"/>
    <col width="16" customWidth="1" min="143" max="143"/>
    <col width="16" customWidth="1" min="144" max="144"/>
    <col width="16" customWidth="1" min="145" max="145"/>
    <col width="16" customWidth="1" min="146" max="146"/>
    <col width="16" customWidth="1" min="147" max="147"/>
    <col width="16" customWidth="1" min="148" max="148"/>
    <col width="16" customWidth="1" min="149" max="149"/>
    <col width="16" customWidth="1" min="150" max="150"/>
    <col width="16" customWidth="1" min="151" max="151"/>
    <col width="16" customWidth="1" min="152" max="152"/>
    <col width="16" customWidth="1" min="153" max="153"/>
    <col width="16" customWidth="1" min="154" max="154"/>
    <col width="16" customWidth="1" min="155" max="155"/>
    <col width="16" customWidth="1" min="156" max="156"/>
    <col width="16" customWidth="1" min="157" max="157"/>
    <col width="16" customWidth="1" min="158" max="158"/>
    <col width="16" customWidth="1" min="159" max="159"/>
    <col width="16" customWidth="1" min="160" max="160"/>
    <col width="16" customWidth="1" min="161" max="161"/>
    <col width="16" customWidth="1" min="162" max="162"/>
    <col width="16" customWidth="1" min="163" max="163"/>
    <col width="16" customWidth="1" min="164" max="164"/>
    <col width="16" customWidth="1" min="165" max="165"/>
    <col width="16" customWidth="1" min="166" max="166"/>
    <col width="16" customWidth="1" min="167" max="167"/>
    <col width="16" customWidth="1" min="168" max="168"/>
    <col width="16" customWidth="1" min="169" max="169"/>
    <col width="16" customWidth="1" min="170" max="170"/>
    <col width="16" customWidth="1" min="171" max="171"/>
    <col width="16" customWidth="1" min="172" max="172"/>
    <col width="16" customWidth="1" min="173" max="173"/>
    <col width="16" customWidth="1" min="174" max="174"/>
    <col width="16" customWidth="1" min="175" max="175"/>
    <col width="16" customWidth="1" min="176" max="176"/>
    <col width="16" customWidth="1" min="177" max="177"/>
    <col width="16" customWidth="1" min="178" max="178"/>
    <col width="16" customWidth="1" min="179" max="179"/>
    <col width="16" customWidth="1" min="180" max="180"/>
    <col width="16" customWidth="1" min="181" max="181"/>
    <col width="16" customWidth="1" min="182" max="182"/>
    <col width="16" customWidth="1" min="183" max="183"/>
    <col width="16" customWidth="1" min="184" max="184"/>
    <col width="16" customWidth="1" min="185" max="185"/>
    <col width="16" customWidth="1" min="186" max="186"/>
    <col width="16" customWidth="1" min="187" max="187"/>
    <col width="16" customWidth="1" min="188" max="188"/>
    <col width="16" customWidth="1" min="189" max="189"/>
    <col width="16" customWidth="1" min="190" max="190"/>
    <col width="16" customWidth="1" min="191" max="191"/>
    <col width="16" customWidth="1" min="192" max="192"/>
    <col width="16" customWidth="1" min="193" max="193"/>
    <col width="16" customWidth="1" min="194" max="194"/>
    <col width="16" customWidth="1" min="195" max="195"/>
    <col width="16" customWidth="1" min="196" max="196"/>
    <col width="16" customWidth="1" min="197" max="197"/>
    <col width="16" customWidth="1" min="198" max="198"/>
    <col width="16" customWidth="1" min="199" max="199"/>
    <col width="16" customWidth="1" min="200" max="200"/>
    <col width="16" customWidth="1" min="201" max="201"/>
    <col width="16" customWidth="1" min="202" max="202"/>
    <col width="16" customWidth="1" min="203" max="203"/>
    <col width="16" customWidth="1" min="204" max="204"/>
    <col width="16" customWidth="1" min="205" max="205"/>
    <col width="16" customWidth="1" min="206" max="206"/>
    <col width="16" customWidth="1" min="207" max="207"/>
    <col width="16" customWidth="1" min="208" max="208"/>
    <col width="16" customWidth="1" min="209" max="209"/>
    <col width="16" customWidth="1" min="210" max="210"/>
    <col width="16" customWidth="1" min="211" max="211"/>
    <col width="16" customWidth="1" min="212" max="212"/>
    <col width="16" customWidth="1" min="213" max="213"/>
    <col width="16" customWidth="1" min="214" max="214"/>
    <col width="16" customWidth="1" min="215" max="215"/>
    <col width="16" customWidth="1" min="216" max="216"/>
    <col width="16" customWidth="1" min="217" max="217"/>
    <col width="16" customWidth="1" min="218" max="218"/>
    <col width="16" customWidth="1" min="219" max="219"/>
    <col width="16" customWidth="1" min="220" max="220"/>
    <col width="16" customWidth="1" min="221" max="221"/>
    <col width="16" customWidth="1" min="222" max="222"/>
    <col width="16" customWidth="1" min="223" max="223"/>
    <col width="16" customWidth="1" min="224" max="224"/>
    <col width="16" customWidth="1" min="225" max="225"/>
    <col width="16" customWidth="1" min="226" max="226"/>
    <col width="16" customWidth="1" min="227" max="227"/>
    <col width="16" customWidth="1" min="228" max="228"/>
    <col width="16" customWidth="1" min="229" max="229"/>
    <col width="16" customWidth="1" min="230" max="230"/>
    <col width="16" customWidth="1" min="231" max="231"/>
    <col width="16" customWidth="1" min="232" max="232"/>
    <col width="16" customWidth="1" min="233" max="233"/>
    <col width="16" customWidth="1" min="234" max="234"/>
    <col width="16" customWidth="1" min="235" max="235"/>
    <col width="16" customWidth="1" min="236" max="236"/>
    <col width="16" customWidth="1" min="237" max="237"/>
    <col width="16" customWidth="1" min="238" max="238"/>
    <col width="16" customWidth="1" min="239" max="239"/>
    <col width="16" customWidth="1" min="240" max="240"/>
    <col width="16" customWidth="1" min="241" max="241"/>
    <col width="16" customWidth="1" min="242" max="242"/>
    <col width="16" customWidth="1" min="243" max="243"/>
    <col width="16" customWidth="1" min="244" max="244"/>
    <col width="16" customWidth="1" min="245" max="245"/>
    <col width="16" customWidth="1" min="246" max="246"/>
    <col width="16" customWidth="1" min="247" max="247"/>
    <col width="16" customWidth="1" min="248" max="248"/>
    <col width="16" customWidth="1" min="249" max="249"/>
    <col width="16" customWidth="1" min="250" max="250"/>
    <col width="16" customWidth="1" min="251" max="251"/>
  </cols>
  <sheetData>
    <row r="1">
      <c r="A1" s="1" t="inlineStr">
        <is>
          <t>Presets (helper) — named builds; pick one from the dropdown on Build Configurator</t>
        </is>
      </c>
    </row>
    <row r="2">
      <c r="A2" s="2" t="inlineStr">
        <is>
          <t>Add a new row here (Preset Name + SPECIAL + a rank per perk) to save another build as a loadable preset.</t>
        </is>
      </c>
    </row>
    <row r="4">
      <c r="A4" s="6" t="inlineStr">
        <is>
          <t>Preset Name</t>
        </is>
      </c>
      <c r="B4" s="6" t="inlineStr">
        <is>
          <t>STR</t>
        </is>
      </c>
      <c r="C4" s="6" t="inlineStr">
        <is>
          <t>PER</t>
        </is>
      </c>
      <c r="D4" s="6" t="inlineStr">
        <is>
          <t>END</t>
        </is>
      </c>
      <c r="E4" s="6" t="inlineStr">
        <is>
          <t>CHA</t>
        </is>
      </c>
      <c r="F4" s="6" t="inlineStr">
        <is>
          <t>INT</t>
        </is>
      </c>
      <c r="G4" s="6" t="inlineStr">
        <is>
          <t>AGI</t>
        </is>
      </c>
      <c r="H4" s="6" t="inlineStr">
        <is>
          <t>LCK</t>
        </is>
      </c>
      <c r="I4" s="6" t="inlineStr">
        <is>
          <t>Arms Keeper</t>
        </is>
      </c>
      <c r="J4" s="6" t="inlineStr">
        <is>
          <t>Bandolier</t>
        </is>
      </c>
      <c r="K4" s="6" t="inlineStr">
        <is>
          <t>Barbarian</t>
        </is>
      </c>
      <c r="L4" s="6" t="inlineStr">
        <is>
          <t>Basher</t>
        </is>
      </c>
      <c r="M4" s="6" t="inlineStr">
        <is>
          <t>Bear Arms</t>
        </is>
      </c>
      <c r="N4" s="6" t="inlineStr">
        <is>
          <t>Blocker</t>
        </is>
      </c>
      <c r="O4" s="6" t="inlineStr">
        <is>
          <t>Blood Luster</t>
        </is>
      </c>
      <c r="P4" s="6" t="inlineStr">
        <is>
          <t>Bringing the Big Guns</t>
        </is>
      </c>
      <c r="Q4" s="6" t="inlineStr">
        <is>
          <t>Bullet Storm</t>
        </is>
      </c>
      <c r="R4" s="6" t="inlineStr">
        <is>
          <t>Easy Target</t>
        </is>
      </c>
      <c r="S4" s="6" t="inlineStr">
        <is>
          <t>Full Charge</t>
        </is>
      </c>
      <c r="T4" s="6" t="inlineStr">
        <is>
          <t>Heavy Hitter</t>
        </is>
      </c>
      <c r="U4" s="6" t="inlineStr">
        <is>
          <t>Incisor</t>
        </is>
      </c>
      <c r="V4" s="6" t="inlineStr">
        <is>
          <t>Iron Fist</t>
        </is>
      </c>
      <c r="W4" s="6" t="inlineStr">
        <is>
          <t>Knee-Capper</t>
        </is>
      </c>
      <c r="X4" s="6" t="inlineStr">
        <is>
          <t>Lock and Load</t>
        </is>
      </c>
      <c r="Y4" s="6" t="inlineStr">
        <is>
          <t>Love the Spread</t>
        </is>
      </c>
      <c r="Z4" s="6" t="inlineStr">
        <is>
          <t>Martial Artist</t>
        </is>
      </c>
      <c r="AA4" s="6" t="inlineStr">
        <is>
          <t>Natural Stance</t>
        </is>
      </c>
      <c r="AB4" s="6" t="inlineStr">
        <is>
          <t>Ordnance Express</t>
        </is>
      </c>
      <c r="AC4" s="6" t="inlineStr">
        <is>
          <t>Pack Rat</t>
        </is>
      </c>
      <c r="AD4" s="6" t="inlineStr">
        <is>
          <t>Pain Train</t>
        </is>
      </c>
      <c r="AE4" s="6" t="inlineStr">
        <is>
          <t>Portable Power</t>
        </is>
      </c>
      <c r="AF4" s="6" t="inlineStr">
        <is>
          <t>Scattershot</t>
        </is>
      </c>
      <c r="AG4" s="6" t="inlineStr">
        <is>
          <t>Shotgun Champ</t>
        </is>
      </c>
      <c r="AH4" s="6" t="inlineStr">
        <is>
          <t>Slugger</t>
        </is>
      </c>
      <c r="AI4" s="6" t="inlineStr">
        <is>
          <t>Strong Arm</t>
        </is>
      </c>
      <c r="AJ4" s="6" t="inlineStr">
        <is>
          <t>Strong Back</t>
        </is>
      </c>
      <c r="AK4" s="6" t="inlineStr">
        <is>
          <t>Sturdy Frame</t>
        </is>
      </c>
      <c r="AL4" s="6" t="inlineStr">
        <is>
          <t>Tightly Wound</t>
        </is>
      </c>
      <c r="AM4" s="6" t="inlineStr">
        <is>
          <t>Traveling Pharmacy</t>
        </is>
      </c>
      <c r="AN4" s="6" t="inlineStr">
        <is>
          <t>Wound Salter</t>
        </is>
      </c>
      <c r="AO4" s="6" t="inlineStr">
        <is>
          <t>Wrecking Ball</t>
        </is>
      </c>
      <c r="AP4" s="6" t="inlineStr">
        <is>
          <t>Arms of Steel</t>
        </is>
      </c>
      <c r="AQ4" s="6" t="inlineStr">
        <is>
          <t>Bone Shatterer</t>
        </is>
      </c>
      <c r="AR4" s="6" t="inlineStr">
        <is>
          <t>Brick Wall</t>
        </is>
      </c>
      <c r="AS4" s="6" t="inlineStr">
        <is>
          <t>Radioactive Strength</t>
        </is>
      </c>
      <c r="AT4" s="6" t="inlineStr">
        <is>
          <t>Awareness</t>
        </is>
      </c>
      <c r="AU4" s="6" t="inlineStr">
        <is>
          <t>Bow Before Me</t>
        </is>
      </c>
      <c r="AV4" s="6" t="inlineStr">
        <is>
          <t>Butcher's Bounty</t>
        </is>
      </c>
      <c r="AW4" s="6" t="inlineStr">
        <is>
          <t>Center Masochist</t>
        </is>
      </c>
      <c r="AX4" s="6" t="inlineStr">
        <is>
          <t>Concentrated Fire</t>
        </is>
      </c>
      <c r="AY4" s="6" t="inlineStr">
        <is>
          <t>Crack Shot</t>
        </is>
      </c>
      <c r="AZ4" s="6" t="inlineStr">
        <is>
          <t>Deal Sealer</t>
        </is>
      </c>
      <c r="BA4" s="6" t="inlineStr">
        <is>
          <t>Down Ranger</t>
        </is>
      </c>
      <c r="BB4" s="6" t="inlineStr">
        <is>
          <t>Expert Picklock</t>
        </is>
      </c>
      <c r="BC4" s="6" t="inlineStr">
        <is>
          <t>Exterminator</t>
        </is>
      </c>
      <c r="BD4" s="6" t="inlineStr">
        <is>
          <t>Fast Fighter</t>
        </is>
      </c>
      <c r="BE4" s="6" t="inlineStr">
        <is>
          <t>Fortune Finder</t>
        </is>
      </c>
      <c r="BF4" s="6" t="inlineStr">
        <is>
          <t>Glow Sight</t>
        </is>
      </c>
      <c r="BG4" s="6" t="inlineStr">
        <is>
          <t>Green Thumb</t>
        </is>
      </c>
      <c r="BH4" s="6" t="inlineStr">
        <is>
          <t>Grenadier</t>
        </is>
      </c>
      <c r="BI4" s="6" t="inlineStr">
        <is>
          <t>Ground Pounder</t>
        </is>
      </c>
      <c r="BJ4" s="6" t="inlineStr">
        <is>
          <t>Hat Trick</t>
        </is>
      </c>
      <c r="BK4" s="6" t="inlineStr">
        <is>
          <t>Long Shot</t>
        </is>
      </c>
      <c r="BL4" s="6" t="inlineStr">
        <is>
          <t>Master Archer</t>
        </is>
      </c>
      <c r="BM4" s="6" t="inlineStr">
        <is>
          <t>Master Picklock</t>
        </is>
      </c>
      <c r="BN4" s="6" t="inlineStr">
        <is>
          <t>Night Eyes</t>
        </is>
      </c>
      <c r="BO4" s="6" t="inlineStr">
        <is>
          <t>Night Person</t>
        </is>
      </c>
      <c r="BP4" s="6" t="inlineStr">
        <is>
          <t>Number Cruncher</t>
        </is>
      </c>
      <c r="BQ4" s="6" t="inlineStr">
        <is>
          <t>Pannapictagraphist</t>
        </is>
      </c>
      <c r="BR4" s="6" t="inlineStr">
        <is>
          <t>Percepti-Bobble</t>
        </is>
      </c>
      <c r="BS4" s="6" t="inlineStr">
        <is>
          <t>Picklock</t>
        </is>
      </c>
      <c r="BT4" s="6" t="inlineStr">
        <is>
          <t>Refractor</t>
        </is>
      </c>
      <c r="BU4" s="6" t="inlineStr">
        <is>
          <t>Scoped-up</t>
        </is>
      </c>
      <c r="BV4" s="6" t="inlineStr">
        <is>
          <t>Skeet Shooter</t>
        </is>
      </c>
      <c r="BW4" s="6" t="inlineStr">
        <is>
          <t>Smart Shot</t>
        </is>
      </c>
      <c r="BX4" s="6" t="inlineStr">
        <is>
          <t>Sniper</t>
        </is>
      </c>
      <c r="BY4" s="6" t="inlineStr">
        <is>
          <t>Tank Killer</t>
        </is>
      </c>
      <c r="BZ4" s="6" t="inlineStr">
        <is>
          <t>Tormentor</t>
        </is>
      </c>
      <c r="CA4" s="6" t="inlineStr">
        <is>
          <t>Breathe It In</t>
        </is>
      </c>
      <c r="CB4" s="6" t="inlineStr">
        <is>
          <t>Eye of the Hunter</t>
        </is>
      </c>
      <c r="CC4" s="6" t="inlineStr">
        <is>
          <t>Glowing Hunter</t>
        </is>
      </c>
      <c r="CD4" s="6" t="inlineStr">
        <is>
          <t>Rad-Reaver</t>
        </is>
      </c>
      <c r="CE4" s="6" t="inlineStr">
        <is>
          <t>Adamantium Skeleton</t>
        </is>
      </c>
      <c r="CF4" s="6" t="inlineStr">
        <is>
          <t>All Night Long</t>
        </is>
      </c>
      <c r="CG4" s="6" t="inlineStr">
        <is>
          <t>Aquaboy</t>
        </is>
      </c>
      <c r="CH4" s="6" t="inlineStr">
        <is>
          <t>Aquagirl</t>
        </is>
      </c>
      <c r="CI4" s="6" t="inlineStr">
        <is>
          <t>Bloodsucker</t>
        </is>
      </c>
      <c r="CJ4" s="6" t="inlineStr">
        <is>
          <t>Bullet Shield</t>
        </is>
      </c>
      <c r="CK4" s="6" t="inlineStr">
        <is>
          <t>Cannibal</t>
        </is>
      </c>
      <c r="CL4" s="6" t="inlineStr">
        <is>
          <t>Chem Fiend</t>
        </is>
      </c>
      <c r="CM4" s="6" t="inlineStr">
        <is>
          <t>Chem Resistant</t>
        </is>
      </c>
      <c r="CN4" s="6" t="inlineStr">
        <is>
          <t>Cola Nut</t>
        </is>
      </c>
      <c r="CO4" s="6" t="inlineStr">
        <is>
          <t>Dromedary</t>
        </is>
      </c>
      <c r="CP4" s="6" t="inlineStr">
        <is>
          <t>Ghoulish</t>
        </is>
      </c>
      <c r="CQ4" s="6" t="inlineStr">
        <is>
          <t>Good Doggy</t>
        </is>
      </c>
      <c r="CR4" s="6" t="inlineStr">
        <is>
          <t>Hardy</t>
        </is>
      </c>
      <c r="CS4" s="6" t="inlineStr">
        <is>
          <t>Homebody</t>
        </is>
      </c>
      <c r="CT4" s="6" t="inlineStr">
        <is>
          <t>Hydro Fix</t>
        </is>
      </c>
      <c r="CU4" s="6" t="inlineStr">
        <is>
          <t>Iron Stomach</t>
        </is>
      </c>
      <c r="CV4" s="6" t="inlineStr">
        <is>
          <t>Ironclad</t>
        </is>
      </c>
      <c r="CW4" s="6" t="inlineStr">
        <is>
          <t>Lead Belly</t>
        </is>
      </c>
      <c r="CX4" s="6" t="inlineStr">
        <is>
          <t>Life Giver</t>
        </is>
      </c>
      <c r="CY4" s="6" t="inlineStr">
        <is>
          <t>Munchy Resistance</t>
        </is>
      </c>
      <c r="CZ4" s="6" t="inlineStr">
        <is>
          <t>Natural Resistance</t>
        </is>
      </c>
      <c r="DA4" s="6" t="inlineStr">
        <is>
          <t>Nocturnal Fortitude</t>
        </is>
      </c>
      <c r="DB4" s="6" t="inlineStr">
        <is>
          <t>Photosynthetic</t>
        </is>
      </c>
      <c r="DC4" s="6" t="inlineStr">
        <is>
          <t>Professional Drinker</t>
        </is>
      </c>
      <c r="DD4" s="6" t="inlineStr">
        <is>
          <t>Rad Resistant</t>
        </is>
      </c>
      <c r="DE4" s="6" t="inlineStr">
        <is>
          <t>Radicool</t>
        </is>
      </c>
      <c r="DF4" s="6" t="inlineStr">
        <is>
          <t>Rejuvenated</t>
        </is>
      </c>
      <c r="DG4" s="6" t="inlineStr">
        <is>
          <t>Slow Metabolizer</t>
        </is>
      </c>
      <c r="DH4" s="6" t="inlineStr">
        <is>
          <t>Solar Powered</t>
        </is>
      </c>
      <c r="DI4" s="6" t="inlineStr">
        <is>
          <t>Starched Genes</t>
        </is>
      </c>
      <c r="DJ4" s="6" t="inlineStr">
        <is>
          <t>Sun Kissed</t>
        </is>
      </c>
      <c r="DK4" s="6" t="inlineStr">
        <is>
          <t>Thirst Quencher</t>
        </is>
      </c>
      <c r="DL4" s="6" t="inlineStr">
        <is>
          <t>Thru-hiker</t>
        </is>
      </c>
      <c r="DM4" s="6" t="inlineStr">
        <is>
          <t>Vaccinated</t>
        </is>
      </c>
      <c r="DN4" s="6" t="inlineStr">
        <is>
          <t>Rad Sponge</t>
        </is>
      </c>
      <c r="DO4" s="6" t="inlineStr">
        <is>
          <t>Chem Diet</t>
        </is>
      </c>
      <c r="DP4" s="6" t="inlineStr">
        <is>
          <t>Glowing Gut</t>
        </is>
      </c>
      <c r="DQ4" s="6" t="inlineStr">
        <is>
          <t>Radiation Power</t>
        </is>
      </c>
      <c r="DR4" s="6" t="inlineStr">
        <is>
          <t>Thick Skin</t>
        </is>
      </c>
      <c r="DS4" s="6" t="inlineStr">
        <is>
          <t>Animal Friend</t>
        </is>
      </c>
      <c r="DT4" s="6" t="inlineStr">
        <is>
          <t>Anti-Epidemic</t>
        </is>
      </c>
      <c r="DU4" s="6" t="inlineStr">
        <is>
          <t>Bodyguards</t>
        </is>
      </c>
      <c r="DV4" s="6" t="inlineStr">
        <is>
          <t>E.M.T.</t>
        </is>
      </c>
      <c r="DW4" s="6" t="inlineStr">
        <is>
          <t>Friendly Fire</t>
        </is>
      </c>
      <c r="DX4" s="6" t="inlineStr">
        <is>
          <t>Happy Camper</t>
        </is>
      </c>
      <c r="DY4" s="6" t="inlineStr">
        <is>
          <t>Happy-Go-Lucky</t>
        </is>
      </c>
      <c r="DZ4" s="6" t="inlineStr">
        <is>
          <t>Hard Bargain</t>
        </is>
      </c>
      <c r="EA4" s="6" t="inlineStr">
        <is>
          <t>Healing Hands</t>
        </is>
      </c>
      <c r="EB4" s="6" t="inlineStr">
        <is>
          <t>Injector</t>
        </is>
      </c>
      <c r="EC4" s="6" t="inlineStr">
        <is>
          <t>Inspirational</t>
        </is>
      </c>
      <c r="ED4" s="6" t="inlineStr">
        <is>
          <t>Lone Wanderer</t>
        </is>
      </c>
      <c r="EE4" s="6" t="inlineStr">
        <is>
          <t>Magnetic Personality</t>
        </is>
      </c>
      <c r="EF4" s="6" t="inlineStr">
        <is>
          <t>Overly Generous</t>
        </is>
      </c>
      <c r="EG4" s="6" t="inlineStr">
        <is>
          <t>Party Boy</t>
        </is>
      </c>
      <c r="EH4" s="6" t="inlineStr">
        <is>
          <t>Party Girl</t>
        </is>
      </c>
      <c r="EI4" s="6" t="inlineStr">
        <is>
          <t>Philanthropist</t>
        </is>
      </c>
      <c r="EJ4" s="6" t="inlineStr">
        <is>
          <t>Quack Surgeon</t>
        </is>
      </c>
      <c r="EK4" s="6" t="inlineStr">
        <is>
          <t>Revenant</t>
        </is>
      </c>
      <c r="EL4" s="6" t="inlineStr">
        <is>
          <t>Spiritual Healer</t>
        </is>
      </c>
      <c r="EM4" s="6" t="inlineStr">
        <is>
          <t>Squad Maneuvers</t>
        </is>
      </c>
      <c r="EN4" s="6" t="inlineStr">
        <is>
          <t>Strange In Numbers</t>
        </is>
      </c>
      <c r="EO4" s="6" t="inlineStr">
        <is>
          <t>Suppressor</t>
        </is>
      </c>
      <c r="EP4" s="6" t="inlineStr">
        <is>
          <t>Team Medic</t>
        </is>
      </c>
      <c r="EQ4" s="6" t="inlineStr">
        <is>
          <t>Tenderizer</t>
        </is>
      </c>
      <c r="ER4" s="6" t="inlineStr">
        <is>
          <t>Travel Agent</t>
        </is>
      </c>
      <c r="ES4" s="6" t="inlineStr">
        <is>
          <t>Wasteland Whisperer</t>
        </is>
      </c>
      <c r="ET4" s="6" t="inlineStr">
        <is>
          <t>Feral Presence</t>
        </is>
      </c>
      <c r="EU4" s="6" t="inlineStr">
        <is>
          <t>Glowing One</t>
        </is>
      </c>
      <c r="EV4" s="6" t="inlineStr">
        <is>
          <t>Moral Support</t>
        </is>
      </c>
      <c r="EW4" s="6" t="inlineStr">
        <is>
          <t>United Ordeal</t>
        </is>
      </c>
      <c r="EX4" s="6" t="inlineStr">
        <is>
          <t>Armorer</t>
        </is>
      </c>
      <c r="EY4" s="6" t="inlineStr">
        <is>
          <t>Batteries Included</t>
        </is>
      </c>
      <c r="EZ4" s="6" t="inlineStr">
        <is>
          <t>Chemist</t>
        </is>
      </c>
      <c r="FA4" s="6" t="inlineStr">
        <is>
          <t>Contractor</t>
        </is>
      </c>
      <c r="FB4" s="6" t="inlineStr">
        <is>
          <t>Cryologist</t>
        </is>
      </c>
      <c r="FC4" s="6" t="inlineStr">
        <is>
          <t>Curator</t>
        </is>
      </c>
      <c r="FD4" s="6" t="inlineStr">
        <is>
          <t>Demolition Expert</t>
        </is>
      </c>
      <c r="FE4" s="6" t="inlineStr">
        <is>
          <t>Expert Hacker</t>
        </is>
      </c>
      <c r="FF4" s="6" t="inlineStr">
        <is>
          <t>Field Surgeon</t>
        </is>
      </c>
      <c r="FG4" s="6" t="inlineStr">
        <is>
          <t>First Aid</t>
        </is>
      </c>
      <c r="FH4" s="6" t="inlineStr">
        <is>
          <t>Fix It Good</t>
        </is>
      </c>
      <c r="FI4" s="6" t="inlineStr">
        <is>
          <t>Good With Salt</t>
        </is>
      </c>
      <c r="FJ4" s="6" t="inlineStr">
        <is>
          <t>Gunsmith</t>
        </is>
      </c>
      <c r="FK4" s="6" t="inlineStr">
        <is>
          <t>Hacker</t>
        </is>
      </c>
      <c r="FL4" s="6" t="inlineStr">
        <is>
          <t>Licensed Plumber</t>
        </is>
      </c>
      <c r="FM4" s="6" t="inlineStr">
        <is>
          <t>Makeshift Warrior</t>
        </is>
      </c>
      <c r="FN4" s="6" t="inlineStr">
        <is>
          <t>Master Hacker</t>
        </is>
      </c>
      <c r="FO4" s="6" t="inlineStr">
        <is>
          <t>Nerd Rage!</t>
        </is>
      </c>
      <c r="FP4" s="6" t="inlineStr">
        <is>
          <t>Pharmacist</t>
        </is>
      </c>
      <c r="FQ4" s="6" t="inlineStr">
        <is>
          <t>Power Patcher</t>
        </is>
      </c>
      <c r="FR4" s="6" t="inlineStr">
        <is>
          <t>Power Smith</t>
        </is>
      </c>
      <c r="FS4" s="6" t="inlineStr">
        <is>
          <t>Power User</t>
        </is>
      </c>
      <c r="FT4" s="6" t="inlineStr">
        <is>
          <t>Pyro-Technician</t>
        </is>
      </c>
      <c r="FU4" s="6" t="inlineStr">
        <is>
          <t>Robotics Expert</t>
        </is>
      </c>
      <c r="FV4" s="6" t="inlineStr">
        <is>
          <t>Science!</t>
        </is>
      </c>
      <c r="FW4" s="6" t="inlineStr">
        <is>
          <t>Scrapper</t>
        </is>
      </c>
      <c r="FX4" s="6" t="inlineStr">
        <is>
          <t>Stabilized</t>
        </is>
      </c>
      <c r="FY4" s="6" t="inlineStr">
        <is>
          <t>Stable Tools</t>
        </is>
      </c>
      <c r="FZ4" s="6" t="inlineStr">
        <is>
          <t>Weapon Artisan</t>
        </is>
      </c>
      <c r="GA4" s="6" t="inlineStr">
        <is>
          <t>White Knight</t>
        </is>
      </c>
      <c r="GB4" s="6" t="inlineStr">
        <is>
          <t>Bomb Scientist</t>
        </is>
      </c>
      <c r="GC4" s="6" t="inlineStr">
        <is>
          <t>Mad Scientist</t>
        </is>
      </c>
      <c r="GD4" s="6" t="inlineStr">
        <is>
          <t>Rad Specialist</t>
        </is>
      </c>
      <c r="GE4" s="6" t="inlineStr">
        <is>
          <t>Science Monster</t>
        </is>
      </c>
      <c r="GF4" s="6" t="inlineStr">
        <is>
          <t>Action Boy</t>
        </is>
      </c>
      <c r="GG4" s="6" t="inlineStr">
        <is>
          <t>Action Girl</t>
        </is>
      </c>
      <c r="GH4" s="6" t="inlineStr">
        <is>
          <t>Adrenaline</t>
        </is>
      </c>
      <c r="GI4" s="6" t="inlineStr">
        <is>
          <t>Ammosmith</t>
        </is>
      </c>
      <c r="GJ4" s="6" t="inlineStr">
        <is>
          <t>Born Survivor</t>
        </is>
      </c>
      <c r="GK4" s="6" t="inlineStr">
        <is>
          <t>Covert Operative</t>
        </is>
      </c>
      <c r="GL4" s="6" t="inlineStr">
        <is>
          <t>Dead Man Sprinting</t>
        </is>
      </c>
      <c r="GM4" s="6" t="inlineStr">
        <is>
          <t>Dodgy</t>
        </is>
      </c>
      <c r="GN4" s="6" t="inlineStr">
        <is>
          <t>Enforcer</t>
        </is>
      </c>
      <c r="GO4" s="6" t="inlineStr">
        <is>
          <t>Escape Artist</t>
        </is>
      </c>
      <c r="GP4" s="6" t="inlineStr">
        <is>
          <t>Evasive</t>
        </is>
      </c>
      <c r="GQ4" s="6" t="inlineStr">
        <is>
          <t>Goat Legs</t>
        </is>
      </c>
      <c r="GR4" s="6" t="inlineStr">
        <is>
          <t>Guerrilla</t>
        </is>
      </c>
      <c r="GS4" s="6" t="inlineStr">
        <is>
          <t>Guerrilla Expert</t>
        </is>
      </c>
      <c r="GT4" s="6" t="inlineStr">
        <is>
          <t>Guerrilla Master</t>
        </is>
      </c>
      <c r="GU4" s="6" t="inlineStr">
        <is>
          <t>Gun Fu</t>
        </is>
      </c>
      <c r="GV4" s="6" t="inlineStr">
        <is>
          <t>Gun Runner</t>
        </is>
      </c>
      <c r="GW4" s="6" t="inlineStr">
        <is>
          <t>Gunslinger</t>
        </is>
      </c>
      <c r="GX4" s="6" t="inlineStr">
        <is>
          <t>Gunslinger Expert</t>
        </is>
      </c>
      <c r="GY4" s="6" t="inlineStr">
        <is>
          <t>Gunslinger Master</t>
        </is>
      </c>
      <c r="GZ4" s="6" t="inlineStr">
        <is>
          <t>Home Defense</t>
        </is>
      </c>
      <c r="HA4" s="6" t="inlineStr">
        <is>
          <t>Light Footed</t>
        </is>
      </c>
      <c r="HB4" s="6" t="inlineStr">
        <is>
          <t>Marathoner</t>
        </is>
      </c>
      <c r="HC4" s="6" t="inlineStr">
        <is>
          <t>Mister Sandman</t>
        </is>
      </c>
      <c r="HD4" s="6" t="inlineStr">
        <is>
          <t>Modern Renegade</t>
        </is>
      </c>
      <c r="HE4" s="6" t="inlineStr">
        <is>
          <t>Moving Target</t>
        </is>
      </c>
      <c r="HF4" s="6" t="inlineStr">
        <is>
          <t>Ninja</t>
        </is>
      </c>
      <c r="HG4" s="6" t="inlineStr">
        <is>
          <t>Packin' Light</t>
        </is>
      </c>
      <c r="HH4" s="6" t="inlineStr">
        <is>
          <t>Secret Agent</t>
        </is>
      </c>
      <c r="HI4" s="6" t="inlineStr">
        <is>
          <t>Sneak</t>
        </is>
      </c>
      <c r="HJ4" s="6" t="inlineStr">
        <is>
          <t>Action Ghoul</t>
        </is>
      </c>
      <c r="HK4" s="6" t="inlineStr">
        <is>
          <t>Gun Tricks</t>
        </is>
      </c>
      <c r="HL4" s="6" t="inlineStr">
        <is>
          <t>Hyper Reflexes</t>
        </is>
      </c>
      <c r="HM4" s="6" t="inlineStr">
        <is>
          <t>Jaguar Speed</t>
        </is>
      </c>
      <c r="HN4" s="6" t="inlineStr">
        <is>
          <t>Better Criticals</t>
        </is>
      </c>
      <c r="HO4" s="6" t="inlineStr">
        <is>
          <t>Bloody Mess</t>
        </is>
      </c>
      <c r="HP4" s="6" t="inlineStr">
        <is>
          <t>Can Do!</t>
        </is>
      </c>
      <c r="HQ4" s="6" t="inlineStr">
        <is>
          <t>Cap Collector</t>
        </is>
      </c>
      <c r="HR4" s="6" t="inlineStr">
        <is>
          <t>Class Freak</t>
        </is>
      </c>
      <c r="HS4" s="6" t="inlineStr">
        <is>
          <t>Critical Savvy</t>
        </is>
      </c>
      <c r="HT4" s="6" t="inlineStr">
        <is>
          <t>Dry Nurse</t>
        </is>
      </c>
      <c r="HU4" s="6" t="inlineStr">
        <is>
          <t>Four Leaf Clover</t>
        </is>
      </c>
      <c r="HV4" s="6" t="inlineStr">
        <is>
          <t>Grim Reaper's Sprint</t>
        </is>
      </c>
      <c r="HW4" s="6" t="inlineStr">
        <is>
          <t>Junk Shield</t>
        </is>
      </c>
      <c r="HX4" s="6" t="inlineStr">
        <is>
          <t>Last Laugh</t>
        </is>
      </c>
      <c r="HY4" s="6" t="inlineStr">
        <is>
          <t>Luck of the Draw</t>
        </is>
      </c>
      <c r="HZ4" s="6" t="inlineStr">
        <is>
          <t>Lucky Break</t>
        </is>
      </c>
      <c r="IA4" s="6" t="inlineStr">
        <is>
          <t>Mysterious Savior</t>
        </is>
      </c>
      <c r="IB4" s="6" t="inlineStr">
        <is>
          <t>Mysterious Stranger</t>
        </is>
      </c>
      <c r="IC4" s="6" t="inlineStr">
        <is>
          <t>Mystery Meat</t>
        </is>
      </c>
      <c r="ID4" s="6" t="inlineStr">
        <is>
          <t>One Gun Army</t>
        </is>
      </c>
      <c r="IE4" s="6" t="inlineStr">
        <is>
          <t>Pharma Farma</t>
        </is>
      </c>
      <c r="IF4" s="6" t="inlineStr">
        <is>
          <t>Psychopath</t>
        </is>
      </c>
      <c r="IG4" s="6" t="inlineStr">
        <is>
          <t>Quick Hands</t>
        </is>
      </c>
      <c r="IH4" s="6" t="inlineStr">
        <is>
          <t>Ricochet</t>
        </is>
      </c>
      <c r="II4" s="6" t="inlineStr">
        <is>
          <t>Scrounger</t>
        </is>
      </c>
      <c r="IJ4" s="6" t="inlineStr">
        <is>
          <t>Serendipity</t>
        </is>
      </c>
      <c r="IK4" s="6" t="inlineStr">
        <is>
          <t>Storm Chaser</t>
        </is>
      </c>
      <c r="IL4" s="6" t="inlineStr">
        <is>
          <t>Super Duper</t>
        </is>
      </c>
      <c r="IM4" s="6" t="inlineStr">
        <is>
          <t>Woodchucker</t>
        </is>
      </c>
      <c r="IN4" s="6" t="inlineStr">
        <is>
          <t>Battle-Genes</t>
        </is>
      </c>
      <c r="IO4" s="6" t="inlineStr">
        <is>
          <t>Faulty Spots</t>
        </is>
      </c>
      <c r="IP4" s="6" t="inlineStr">
        <is>
          <t>Glowing Criticals</t>
        </is>
      </c>
      <c r="IQ4" s="6" t="inlineStr">
        <is>
          <t>Wild West Hands</t>
        </is>
      </c>
    </row>
    <row r="5">
      <c r="A5" s="12" t="inlineStr">
        <is>
          <t>Atom - Ghoul VATS/Onslaught/Cripple</t>
        </is>
      </c>
      <c r="B5" s="12" t="n">
        <v>9</v>
      </c>
      <c r="C5" s="12" t="n">
        <v>11</v>
      </c>
      <c r="D5" s="12" t="n">
        <v>13</v>
      </c>
      <c r="E5" s="12" t="n">
        <v>6</v>
      </c>
      <c r="F5" s="12" t="n">
        <v>12</v>
      </c>
      <c r="G5" s="12" t="n">
        <v>15</v>
      </c>
      <c r="H5" s="12" t="n">
        <v>15</v>
      </c>
      <c r="I5" s="12" t="n">
        <v>1</v>
      </c>
      <c r="J5" s="12" t="n">
        <v>0</v>
      </c>
      <c r="K5" s="12" t="n">
        <v>0</v>
      </c>
      <c r="L5" s="12" t="n">
        <v>0</v>
      </c>
      <c r="M5" s="12" t="n">
        <v>0</v>
      </c>
      <c r="N5" s="12" t="n">
        <v>1</v>
      </c>
      <c r="O5" s="12" t="n">
        <v>0</v>
      </c>
      <c r="P5" s="12" t="n">
        <v>0</v>
      </c>
      <c r="Q5" s="12" t="n">
        <v>0</v>
      </c>
      <c r="R5" s="12" t="n">
        <v>3</v>
      </c>
      <c r="S5" s="12" t="n">
        <v>0</v>
      </c>
      <c r="T5" s="12" t="n">
        <v>0</v>
      </c>
      <c r="U5" s="12" t="n">
        <v>0</v>
      </c>
      <c r="V5" s="12" t="n">
        <v>0</v>
      </c>
      <c r="W5" s="12" t="n">
        <v>0</v>
      </c>
      <c r="X5" s="12" t="n">
        <v>0</v>
      </c>
      <c r="Y5" s="12" t="n">
        <v>0</v>
      </c>
      <c r="Z5" s="12" t="n">
        <v>0</v>
      </c>
      <c r="AA5" s="12" t="n">
        <v>0</v>
      </c>
      <c r="AB5" s="12" t="n">
        <v>0</v>
      </c>
      <c r="AC5" s="12" t="n">
        <v>0</v>
      </c>
      <c r="AD5" s="12" t="n">
        <v>0</v>
      </c>
      <c r="AE5" s="12" t="n">
        <v>0</v>
      </c>
      <c r="AF5" s="12" t="n">
        <v>1</v>
      </c>
      <c r="AG5" s="12" t="n">
        <v>0</v>
      </c>
      <c r="AH5" s="12" t="n">
        <v>0</v>
      </c>
      <c r="AI5" s="12" t="n">
        <v>0</v>
      </c>
      <c r="AJ5" s="12" t="n">
        <v>0</v>
      </c>
      <c r="AK5" s="12" t="n">
        <v>0</v>
      </c>
      <c r="AL5" s="12" t="n">
        <v>0</v>
      </c>
      <c r="AM5" s="12" t="n">
        <v>0</v>
      </c>
      <c r="AN5" s="12" t="n">
        <v>0</v>
      </c>
      <c r="AO5" s="12" t="n">
        <v>0</v>
      </c>
      <c r="AP5" s="12" t="n">
        <v>0</v>
      </c>
      <c r="AQ5" s="12" t="n">
        <v>0</v>
      </c>
      <c r="AR5" s="12" t="n">
        <v>1</v>
      </c>
      <c r="AS5" s="12" t="n">
        <v>0</v>
      </c>
      <c r="AT5" s="12" t="n">
        <v>1</v>
      </c>
      <c r="AU5" s="12" t="n">
        <v>0</v>
      </c>
      <c r="AV5" s="12" t="n">
        <v>0</v>
      </c>
      <c r="AW5" s="12" t="n">
        <v>0</v>
      </c>
      <c r="AX5" s="12" t="n">
        <v>0</v>
      </c>
      <c r="AY5" s="12" t="n">
        <v>0</v>
      </c>
      <c r="AZ5" s="12" t="n">
        <v>1</v>
      </c>
      <c r="BA5" s="12" t="n">
        <v>0</v>
      </c>
      <c r="BB5" s="12" t="n">
        <v>0</v>
      </c>
      <c r="BC5" s="12" t="n">
        <v>0</v>
      </c>
      <c r="BD5" s="12" t="n">
        <v>0</v>
      </c>
      <c r="BE5" s="12" t="n">
        <v>0</v>
      </c>
      <c r="BF5" s="12" t="n">
        <v>0</v>
      </c>
      <c r="BG5" s="12" t="n">
        <v>0</v>
      </c>
      <c r="BH5" s="12" t="n">
        <v>0</v>
      </c>
      <c r="BI5" s="12" t="n">
        <v>0</v>
      </c>
      <c r="BJ5" s="12" t="n">
        <v>0</v>
      </c>
      <c r="BK5" s="12" t="n">
        <v>0</v>
      </c>
      <c r="BL5" s="12" t="n">
        <v>0</v>
      </c>
      <c r="BM5" s="12" t="n">
        <v>0</v>
      </c>
      <c r="BN5" s="12" t="n">
        <v>0</v>
      </c>
      <c r="BO5" s="12" t="n">
        <v>0</v>
      </c>
      <c r="BP5" s="12" t="n">
        <v>1</v>
      </c>
      <c r="BQ5" s="12" t="n">
        <v>0</v>
      </c>
      <c r="BR5" s="12" t="n">
        <v>0</v>
      </c>
      <c r="BS5" s="12" t="n">
        <v>0</v>
      </c>
      <c r="BT5" s="12" t="n">
        <v>0</v>
      </c>
      <c r="BU5" s="12" t="n">
        <v>0</v>
      </c>
      <c r="BV5" s="12" t="n">
        <v>0</v>
      </c>
      <c r="BW5" s="12" t="n">
        <v>0</v>
      </c>
      <c r="BX5" s="12" t="n">
        <v>0</v>
      </c>
      <c r="BY5" s="12" t="n">
        <v>2</v>
      </c>
      <c r="BZ5" s="12" t="n">
        <v>1</v>
      </c>
      <c r="CA5" s="12" t="n">
        <v>0</v>
      </c>
      <c r="CB5" s="12" t="n">
        <v>0</v>
      </c>
      <c r="CC5" s="12" t="n">
        <v>0</v>
      </c>
      <c r="CD5" s="12" t="n">
        <v>0</v>
      </c>
      <c r="CE5" s="12" t="n">
        <v>1</v>
      </c>
      <c r="CF5" s="12" t="n">
        <v>0</v>
      </c>
      <c r="CG5" s="12" t="n">
        <v>0</v>
      </c>
      <c r="CH5" s="12" t="n">
        <v>0</v>
      </c>
      <c r="CI5" s="12" t="n">
        <v>0</v>
      </c>
      <c r="CJ5" s="12" t="n">
        <v>0</v>
      </c>
      <c r="CK5" s="12" t="n">
        <v>0</v>
      </c>
      <c r="CL5" s="12" t="n">
        <v>0</v>
      </c>
      <c r="CM5" s="12" t="n">
        <v>0</v>
      </c>
      <c r="CN5" s="12" t="n">
        <v>0</v>
      </c>
      <c r="CO5" s="12" t="n">
        <v>0</v>
      </c>
      <c r="CP5" s="12" t="n">
        <v>0</v>
      </c>
      <c r="CQ5" s="12" t="n">
        <v>0</v>
      </c>
      <c r="CR5" s="12" t="n">
        <v>1</v>
      </c>
      <c r="CS5" s="12" t="n">
        <v>0</v>
      </c>
      <c r="CT5" s="12" t="n">
        <v>0</v>
      </c>
      <c r="CU5" s="12" t="n">
        <v>0</v>
      </c>
      <c r="CV5" s="12" t="n">
        <v>1</v>
      </c>
      <c r="CW5" s="12" t="n">
        <v>0</v>
      </c>
      <c r="CX5" s="12" t="n">
        <v>1</v>
      </c>
      <c r="CY5" s="12" t="n">
        <v>0</v>
      </c>
      <c r="CZ5" s="12" t="n">
        <v>0</v>
      </c>
      <c r="DA5" s="12" t="n">
        <v>0</v>
      </c>
      <c r="DB5" s="12" t="n">
        <v>0</v>
      </c>
      <c r="DC5" s="12" t="n">
        <v>0</v>
      </c>
      <c r="DD5" s="12" t="n">
        <v>0</v>
      </c>
      <c r="DE5" s="12" t="n">
        <v>0</v>
      </c>
      <c r="DF5" s="12" t="n">
        <v>0</v>
      </c>
      <c r="DG5" s="12" t="n">
        <v>0</v>
      </c>
      <c r="DH5" s="12" t="n">
        <v>0</v>
      </c>
      <c r="DI5" s="12" t="n">
        <v>1</v>
      </c>
      <c r="DJ5" s="12" t="n">
        <v>0</v>
      </c>
      <c r="DK5" s="12" t="n">
        <v>0</v>
      </c>
      <c r="DL5" s="12" t="n">
        <v>0</v>
      </c>
      <c r="DM5" s="12" t="n">
        <v>0</v>
      </c>
      <c r="DN5" s="12" t="n">
        <v>0</v>
      </c>
      <c r="DO5" s="12" t="n">
        <v>0</v>
      </c>
      <c r="DP5" s="12" t="n">
        <v>3</v>
      </c>
      <c r="DQ5" s="12" t="n">
        <v>3</v>
      </c>
      <c r="DR5" s="12" t="n">
        <v>0</v>
      </c>
      <c r="DS5" s="12" t="n">
        <v>0</v>
      </c>
      <c r="DT5" s="12" t="n">
        <v>0</v>
      </c>
      <c r="DU5" s="12" t="n">
        <v>0</v>
      </c>
      <c r="DV5" s="12" t="n">
        <v>0</v>
      </c>
      <c r="DW5" s="12" t="n">
        <v>0</v>
      </c>
      <c r="DX5" s="12" t="n">
        <v>0</v>
      </c>
      <c r="DY5" s="12" t="n">
        <v>0</v>
      </c>
      <c r="DZ5" s="12" t="n">
        <v>0</v>
      </c>
      <c r="EA5" s="12" t="n">
        <v>0</v>
      </c>
      <c r="EB5" s="12" t="n">
        <v>0</v>
      </c>
      <c r="EC5" s="12" t="n">
        <v>0</v>
      </c>
      <c r="ED5" s="12" t="n">
        <v>0</v>
      </c>
      <c r="EE5" s="12" t="n">
        <v>0</v>
      </c>
      <c r="EF5" s="12" t="n">
        <v>0</v>
      </c>
      <c r="EG5" s="12" t="n">
        <v>0</v>
      </c>
      <c r="EH5" s="12" t="n">
        <v>0</v>
      </c>
      <c r="EI5" s="12" t="n">
        <v>0</v>
      </c>
      <c r="EJ5" s="12" t="n">
        <v>0</v>
      </c>
      <c r="EK5" s="12" t="n">
        <v>0</v>
      </c>
      <c r="EL5" s="12" t="n">
        <v>0</v>
      </c>
      <c r="EM5" s="12" t="n">
        <v>0</v>
      </c>
      <c r="EN5" s="12" t="n">
        <v>1</v>
      </c>
      <c r="EO5" s="12" t="n">
        <v>0</v>
      </c>
      <c r="EP5" s="12" t="n">
        <v>0</v>
      </c>
      <c r="EQ5" s="12" t="n">
        <v>1</v>
      </c>
      <c r="ER5" s="12" t="n">
        <v>0</v>
      </c>
      <c r="ES5" s="12" t="n">
        <v>0</v>
      </c>
      <c r="ET5" s="12" t="n">
        <v>0</v>
      </c>
      <c r="EU5" s="12" t="n">
        <v>0</v>
      </c>
      <c r="EV5" s="12" t="n">
        <v>0</v>
      </c>
      <c r="EW5" s="12" t="n">
        <v>3</v>
      </c>
      <c r="EX5" s="12" t="n">
        <v>0</v>
      </c>
      <c r="EY5" s="12" t="n">
        <v>2</v>
      </c>
      <c r="EZ5" s="12" t="n">
        <v>0</v>
      </c>
      <c r="FA5" s="12" t="n">
        <v>0</v>
      </c>
      <c r="FB5" s="12" t="n">
        <v>1</v>
      </c>
      <c r="FC5" s="12" t="n">
        <v>0</v>
      </c>
      <c r="FD5" s="12" t="n">
        <v>0</v>
      </c>
      <c r="FE5" s="12" t="n">
        <v>0</v>
      </c>
      <c r="FF5" s="12" t="n">
        <v>0</v>
      </c>
      <c r="FG5" s="12" t="n">
        <v>0</v>
      </c>
      <c r="FH5" s="12" t="n">
        <v>0</v>
      </c>
      <c r="FI5" s="12" t="n">
        <v>2</v>
      </c>
      <c r="FJ5" s="12" t="n">
        <v>2</v>
      </c>
      <c r="FK5" s="12" t="n">
        <v>0</v>
      </c>
      <c r="FL5" s="12" t="n">
        <v>0</v>
      </c>
      <c r="FM5" s="12" t="n">
        <v>0</v>
      </c>
      <c r="FN5" s="12" t="n">
        <v>0</v>
      </c>
      <c r="FO5" s="12" t="n">
        <v>0</v>
      </c>
      <c r="FP5" s="12" t="n">
        <v>0</v>
      </c>
      <c r="FQ5" s="12" t="n">
        <v>0</v>
      </c>
      <c r="FR5" s="12" t="n">
        <v>0</v>
      </c>
      <c r="FS5" s="12" t="n">
        <v>0</v>
      </c>
      <c r="FT5" s="12" t="n">
        <v>0</v>
      </c>
      <c r="FU5" s="12" t="n">
        <v>0</v>
      </c>
      <c r="FV5" s="12" t="n">
        <v>0</v>
      </c>
      <c r="FW5" s="12" t="n">
        <v>1</v>
      </c>
      <c r="FX5" s="12" t="n">
        <v>0</v>
      </c>
      <c r="FY5" s="12" t="n">
        <v>0</v>
      </c>
      <c r="FZ5" s="12" t="n">
        <v>0</v>
      </c>
      <c r="GA5" s="12" t="n">
        <v>0</v>
      </c>
      <c r="GB5" s="12" t="n">
        <v>0</v>
      </c>
      <c r="GC5" s="12" t="n">
        <v>3</v>
      </c>
      <c r="GD5" s="12" t="n">
        <v>0</v>
      </c>
      <c r="GE5" s="12" t="n">
        <v>0</v>
      </c>
      <c r="GF5" s="12" t="n">
        <v>0</v>
      </c>
      <c r="GG5" s="12" t="n">
        <v>0</v>
      </c>
      <c r="GH5" s="12" t="n">
        <v>1</v>
      </c>
      <c r="GI5" s="12" t="n">
        <v>0</v>
      </c>
      <c r="GJ5" s="12" t="n">
        <v>0</v>
      </c>
      <c r="GK5" s="12" t="n">
        <v>0</v>
      </c>
      <c r="GL5" s="12" t="n">
        <v>0</v>
      </c>
      <c r="GM5" s="12" t="n">
        <v>0</v>
      </c>
      <c r="GN5" s="12" t="n">
        <v>2</v>
      </c>
      <c r="GO5" s="12" t="n">
        <v>0</v>
      </c>
      <c r="GP5" s="12" t="n">
        <v>0</v>
      </c>
      <c r="GQ5" s="12" t="n">
        <v>0</v>
      </c>
      <c r="GR5" s="12" t="n">
        <v>0</v>
      </c>
      <c r="GS5" s="12" t="n">
        <v>1</v>
      </c>
      <c r="GT5" s="12" t="n">
        <v>1</v>
      </c>
      <c r="GU5" s="12" t="n">
        <v>1</v>
      </c>
      <c r="GV5" s="12" t="n">
        <v>0</v>
      </c>
      <c r="GW5" s="12" t="n">
        <v>3</v>
      </c>
      <c r="GX5" s="12" t="n">
        <v>1</v>
      </c>
      <c r="GY5" s="12" t="n">
        <v>0</v>
      </c>
      <c r="GZ5" s="12" t="n">
        <v>0</v>
      </c>
      <c r="HA5" s="12" t="n">
        <v>0</v>
      </c>
      <c r="HB5" s="12" t="n">
        <v>0</v>
      </c>
      <c r="HC5" s="12" t="n">
        <v>0</v>
      </c>
      <c r="HD5" s="12" t="n">
        <v>0</v>
      </c>
      <c r="HE5" s="12" t="n">
        <v>0</v>
      </c>
      <c r="HF5" s="12" t="n">
        <v>0</v>
      </c>
      <c r="HG5" s="12" t="n">
        <v>0</v>
      </c>
      <c r="HH5" s="12" t="n">
        <v>0</v>
      </c>
      <c r="HI5" s="12" t="n">
        <v>0</v>
      </c>
      <c r="HJ5" s="12" t="n">
        <v>0</v>
      </c>
      <c r="HK5" s="12" t="n">
        <v>0</v>
      </c>
      <c r="HL5" s="12" t="n">
        <v>0</v>
      </c>
      <c r="HM5" s="12" t="n">
        <v>0</v>
      </c>
      <c r="HN5" s="12" t="n">
        <v>3</v>
      </c>
      <c r="HO5" s="12" t="n">
        <v>0</v>
      </c>
      <c r="HP5" s="12" t="n">
        <v>0</v>
      </c>
      <c r="HQ5" s="12" t="n">
        <v>0</v>
      </c>
      <c r="HR5" s="12" t="n">
        <v>0</v>
      </c>
      <c r="HS5" s="12" t="n">
        <v>3</v>
      </c>
      <c r="HT5" s="12" t="n">
        <v>0</v>
      </c>
      <c r="HU5" s="12" t="n">
        <v>1</v>
      </c>
      <c r="HV5" s="12" t="n">
        <v>0</v>
      </c>
      <c r="HW5" s="12" t="n">
        <v>1</v>
      </c>
      <c r="HX5" s="12" t="n">
        <v>0</v>
      </c>
      <c r="HY5" s="12" t="n">
        <v>0</v>
      </c>
      <c r="HZ5" s="12" t="n">
        <v>0</v>
      </c>
      <c r="IA5" s="12" t="n">
        <v>0</v>
      </c>
      <c r="IB5" s="12" t="n">
        <v>0</v>
      </c>
      <c r="IC5" s="12" t="n">
        <v>0</v>
      </c>
      <c r="ID5" s="12" t="n">
        <v>0</v>
      </c>
      <c r="IE5" s="12" t="n">
        <v>0</v>
      </c>
      <c r="IF5" s="12" t="n">
        <v>0</v>
      </c>
      <c r="IG5" s="12" t="n">
        <v>0</v>
      </c>
      <c r="IH5" s="12" t="n">
        <v>1</v>
      </c>
      <c r="II5" s="12" t="n">
        <v>0</v>
      </c>
      <c r="IJ5" s="12" t="n">
        <v>0</v>
      </c>
      <c r="IK5" s="12" t="n">
        <v>0</v>
      </c>
      <c r="IL5" s="12" t="n">
        <v>0</v>
      </c>
      <c r="IM5" s="12" t="n">
        <v>0</v>
      </c>
      <c r="IN5" s="12" t="n">
        <v>0</v>
      </c>
      <c r="IO5" s="12" t="n">
        <v>1</v>
      </c>
      <c r="IP5" s="12" t="n">
        <v>1</v>
      </c>
      <c r="IQ5" s="12" t="n">
        <v>3</v>
      </c>
    </row>
    <row r="6">
      <c r="A6" s="12" t="inlineStr">
        <is>
          <t>Blank / Custom</t>
        </is>
      </c>
      <c r="B6" s="12" t="n">
        <v>1</v>
      </c>
      <c r="C6" s="12" t="n">
        <v>1</v>
      </c>
      <c r="D6" s="12" t="n">
        <v>1</v>
      </c>
      <c r="E6" s="12" t="n">
        <v>1</v>
      </c>
      <c r="F6" s="12" t="n">
        <v>1</v>
      </c>
      <c r="G6" s="12" t="n">
        <v>1</v>
      </c>
      <c r="H6" s="12" t="n">
        <v>1</v>
      </c>
      <c r="I6" s="12" t="n">
        <v>0</v>
      </c>
      <c r="J6" s="12" t="n">
        <v>0</v>
      </c>
      <c r="K6" s="12" t="n">
        <v>0</v>
      </c>
      <c r="L6" s="12" t="n">
        <v>0</v>
      </c>
      <c r="M6" s="12" t="n">
        <v>0</v>
      </c>
      <c r="N6" s="12" t="n">
        <v>0</v>
      </c>
      <c r="O6" s="12" t="n">
        <v>0</v>
      </c>
      <c r="P6" s="12" t="n">
        <v>0</v>
      </c>
      <c r="Q6" s="12" t="n">
        <v>0</v>
      </c>
      <c r="R6" s="12" t="n">
        <v>0</v>
      </c>
      <c r="S6" s="12" t="n">
        <v>0</v>
      </c>
      <c r="T6" s="12" t="n">
        <v>0</v>
      </c>
      <c r="U6" s="12" t="n">
        <v>0</v>
      </c>
      <c r="V6" s="12" t="n">
        <v>0</v>
      </c>
      <c r="W6" s="12" t="n">
        <v>0</v>
      </c>
      <c r="X6" s="12" t="n">
        <v>0</v>
      </c>
      <c r="Y6" s="12" t="n">
        <v>0</v>
      </c>
      <c r="Z6" s="12" t="n">
        <v>0</v>
      </c>
      <c r="AA6" s="12" t="n">
        <v>0</v>
      </c>
      <c r="AB6" s="12" t="n">
        <v>0</v>
      </c>
      <c r="AC6" s="12" t="n">
        <v>0</v>
      </c>
      <c r="AD6" s="12" t="n">
        <v>0</v>
      </c>
      <c r="AE6" s="12" t="n">
        <v>0</v>
      </c>
      <c r="AF6" s="12" t="n">
        <v>0</v>
      </c>
      <c r="AG6" s="12" t="n">
        <v>0</v>
      </c>
      <c r="AH6" s="12" t="n">
        <v>0</v>
      </c>
      <c r="AI6" s="12" t="n">
        <v>0</v>
      </c>
      <c r="AJ6" s="12" t="n">
        <v>0</v>
      </c>
      <c r="AK6" s="12" t="n">
        <v>0</v>
      </c>
      <c r="AL6" s="12" t="n">
        <v>0</v>
      </c>
      <c r="AM6" s="12" t="n">
        <v>0</v>
      </c>
      <c r="AN6" s="12" t="n">
        <v>0</v>
      </c>
      <c r="AO6" s="12" t="n">
        <v>0</v>
      </c>
      <c r="AP6" s="12" t="n">
        <v>0</v>
      </c>
      <c r="AQ6" s="12" t="n">
        <v>0</v>
      </c>
      <c r="AR6" s="12" t="n">
        <v>0</v>
      </c>
      <c r="AS6" s="12" t="n">
        <v>0</v>
      </c>
      <c r="AT6" s="12" t="n">
        <v>0</v>
      </c>
      <c r="AU6" s="12" t="n">
        <v>0</v>
      </c>
      <c r="AV6" s="12" t="n">
        <v>0</v>
      </c>
      <c r="AW6" s="12" t="n">
        <v>0</v>
      </c>
      <c r="AX6" s="12" t="n">
        <v>0</v>
      </c>
      <c r="AY6" s="12" t="n">
        <v>0</v>
      </c>
      <c r="AZ6" s="12" t="n">
        <v>0</v>
      </c>
      <c r="BA6" s="12" t="n">
        <v>0</v>
      </c>
      <c r="BB6" s="12" t="n">
        <v>0</v>
      </c>
      <c r="BC6" s="12" t="n">
        <v>0</v>
      </c>
      <c r="BD6" s="12" t="n">
        <v>0</v>
      </c>
      <c r="BE6" s="12" t="n">
        <v>0</v>
      </c>
      <c r="BF6" s="12" t="n">
        <v>0</v>
      </c>
      <c r="BG6" s="12" t="n">
        <v>0</v>
      </c>
      <c r="BH6" s="12" t="n">
        <v>0</v>
      </c>
      <c r="BI6" s="12" t="n">
        <v>0</v>
      </c>
      <c r="BJ6" s="12" t="n">
        <v>0</v>
      </c>
      <c r="BK6" s="12" t="n">
        <v>0</v>
      </c>
      <c r="BL6" s="12" t="n">
        <v>0</v>
      </c>
      <c r="BM6" s="12" t="n">
        <v>0</v>
      </c>
      <c r="BN6" s="12" t="n">
        <v>0</v>
      </c>
      <c r="BO6" s="12" t="n">
        <v>0</v>
      </c>
      <c r="BP6" s="12" t="n">
        <v>0</v>
      </c>
      <c r="BQ6" s="12" t="n">
        <v>0</v>
      </c>
      <c r="BR6" s="12" t="n">
        <v>0</v>
      </c>
      <c r="BS6" s="12" t="n">
        <v>0</v>
      </c>
      <c r="BT6" s="12" t="n">
        <v>0</v>
      </c>
      <c r="BU6" s="12" t="n">
        <v>0</v>
      </c>
      <c r="BV6" s="12" t="n">
        <v>0</v>
      </c>
      <c r="BW6" s="12" t="n">
        <v>0</v>
      </c>
      <c r="BX6" s="12" t="n">
        <v>0</v>
      </c>
      <c r="BY6" s="12" t="n">
        <v>0</v>
      </c>
      <c r="BZ6" s="12" t="n">
        <v>0</v>
      </c>
      <c r="CA6" s="12" t="n">
        <v>0</v>
      </c>
      <c r="CB6" s="12" t="n">
        <v>0</v>
      </c>
      <c r="CC6" s="12" t="n">
        <v>0</v>
      </c>
      <c r="CD6" s="12" t="n">
        <v>0</v>
      </c>
      <c r="CE6" s="12" t="n">
        <v>0</v>
      </c>
      <c r="CF6" s="12" t="n">
        <v>0</v>
      </c>
      <c r="CG6" s="12" t="n">
        <v>0</v>
      </c>
      <c r="CH6" s="12" t="n">
        <v>0</v>
      </c>
      <c r="CI6" s="12" t="n">
        <v>0</v>
      </c>
      <c r="CJ6" s="12" t="n">
        <v>0</v>
      </c>
      <c r="CK6" s="12" t="n">
        <v>0</v>
      </c>
      <c r="CL6" s="12" t="n">
        <v>0</v>
      </c>
      <c r="CM6" s="12" t="n">
        <v>0</v>
      </c>
      <c r="CN6" s="12" t="n">
        <v>0</v>
      </c>
      <c r="CO6" s="12" t="n">
        <v>0</v>
      </c>
      <c r="CP6" s="12" t="n">
        <v>0</v>
      </c>
      <c r="CQ6" s="12" t="n">
        <v>0</v>
      </c>
      <c r="CR6" s="12" t="n">
        <v>0</v>
      </c>
      <c r="CS6" s="12" t="n">
        <v>0</v>
      </c>
      <c r="CT6" s="12" t="n">
        <v>0</v>
      </c>
      <c r="CU6" s="12" t="n">
        <v>0</v>
      </c>
      <c r="CV6" s="12" t="n">
        <v>0</v>
      </c>
      <c r="CW6" s="12" t="n">
        <v>0</v>
      </c>
      <c r="CX6" s="12" t="n">
        <v>0</v>
      </c>
      <c r="CY6" s="12" t="n">
        <v>0</v>
      </c>
      <c r="CZ6" s="12" t="n">
        <v>0</v>
      </c>
      <c r="DA6" s="12" t="n">
        <v>0</v>
      </c>
      <c r="DB6" s="12" t="n">
        <v>0</v>
      </c>
      <c r="DC6" s="12" t="n">
        <v>0</v>
      </c>
      <c r="DD6" s="12" t="n">
        <v>0</v>
      </c>
      <c r="DE6" s="12" t="n">
        <v>0</v>
      </c>
      <c r="DF6" s="12" t="n">
        <v>0</v>
      </c>
      <c r="DG6" s="12" t="n">
        <v>0</v>
      </c>
      <c r="DH6" s="12" t="n">
        <v>0</v>
      </c>
      <c r="DI6" s="12" t="n">
        <v>0</v>
      </c>
      <c r="DJ6" s="12" t="n">
        <v>0</v>
      </c>
      <c r="DK6" s="12" t="n">
        <v>0</v>
      </c>
      <c r="DL6" s="12" t="n">
        <v>0</v>
      </c>
      <c r="DM6" s="12" t="n">
        <v>0</v>
      </c>
      <c r="DN6" s="12" t="n">
        <v>0</v>
      </c>
      <c r="DO6" s="12" t="n">
        <v>0</v>
      </c>
      <c r="DP6" s="12" t="n">
        <v>0</v>
      </c>
      <c r="DQ6" s="12" t="n">
        <v>0</v>
      </c>
      <c r="DR6" s="12" t="n">
        <v>0</v>
      </c>
      <c r="DS6" s="12" t="n">
        <v>0</v>
      </c>
      <c r="DT6" s="12" t="n">
        <v>0</v>
      </c>
      <c r="DU6" s="12" t="n">
        <v>0</v>
      </c>
      <c r="DV6" s="12" t="n">
        <v>0</v>
      </c>
      <c r="DW6" s="12" t="n">
        <v>0</v>
      </c>
      <c r="DX6" s="12" t="n">
        <v>0</v>
      </c>
      <c r="DY6" s="12" t="n">
        <v>0</v>
      </c>
      <c r="DZ6" s="12" t="n">
        <v>0</v>
      </c>
      <c r="EA6" s="12" t="n">
        <v>0</v>
      </c>
      <c r="EB6" s="12" t="n">
        <v>0</v>
      </c>
      <c r="EC6" s="12" t="n">
        <v>0</v>
      </c>
      <c r="ED6" s="12" t="n">
        <v>0</v>
      </c>
      <c r="EE6" s="12" t="n">
        <v>0</v>
      </c>
      <c r="EF6" s="12" t="n">
        <v>0</v>
      </c>
      <c r="EG6" s="12" t="n">
        <v>0</v>
      </c>
      <c r="EH6" s="12" t="n">
        <v>0</v>
      </c>
      <c r="EI6" s="12" t="n">
        <v>0</v>
      </c>
      <c r="EJ6" s="12" t="n">
        <v>0</v>
      </c>
      <c r="EK6" s="12" t="n">
        <v>0</v>
      </c>
      <c r="EL6" s="12" t="n">
        <v>0</v>
      </c>
      <c r="EM6" s="12" t="n">
        <v>0</v>
      </c>
      <c r="EN6" s="12" t="n">
        <v>0</v>
      </c>
      <c r="EO6" s="12" t="n">
        <v>0</v>
      </c>
      <c r="EP6" s="12" t="n">
        <v>0</v>
      </c>
      <c r="EQ6" s="12" t="n">
        <v>0</v>
      </c>
      <c r="ER6" s="12" t="n">
        <v>0</v>
      </c>
      <c r="ES6" s="12" t="n">
        <v>0</v>
      </c>
      <c r="ET6" s="12" t="n">
        <v>0</v>
      </c>
      <c r="EU6" s="12" t="n">
        <v>0</v>
      </c>
      <c r="EV6" s="12" t="n">
        <v>0</v>
      </c>
      <c r="EW6" s="12" t="n">
        <v>0</v>
      </c>
      <c r="EX6" s="12" t="n">
        <v>0</v>
      </c>
      <c r="EY6" s="12" t="n">
        <v>0</v>
      </c>
      <c r="EZ6" s="12" t="n">
        <v>0</v>
      </c>
      <c r="FA6" s="12" t="n">
        <v>0</v>
      </c>
      <c r="FB6" s="12" t="n">
        <v>0</v>
      </c>
      <c r="FC6" s="12" t="n">
        <v>0</v>
      </c>
      <c r="FD6" s="12" t="n">
        <v>0</v>
      </c>
      <c r="FE6" s="12" t="n">
        <v>0</v>
      </c>
      <c r="FF6" s="12" t="n">
        <v>0</v>
      </c>
      <c r="FG6" s="12" t="n">
        <v>0</v>
      </c>
      <c r="FH6" s="12" t="n">
        <v>0</v>
      </c>
      <c r="FI6" s="12" t="n">
        <v>0</v>
      </c>
      <c r="FJ6" s="12" t="n">
        <v>0</v>
      </c>
      <c r="FK6" s="12" t="n">
        <v>0</v>
      </c>
      <c r="FL6" s="12" t="n">
        <v>0</v>
      </c>
      <c r="FM6" s="12" t="n">
        <v>0</v>
      </c>
      <c r="FN6" s="12" t="n">
        <v>0</v>
      </c>
      <c r="FO6" s="12" t="n">
        <v>0</v>
      </c>
      <c r="FP6" s="12" t="n">
        <v>0</v>
      </c>
      <c r="FQ6" s="12" t="n">
        <v>0</v>
      </c>
      <c r="FR6" s="12" t="n">
        <v>0</v>
      </c>
      <c r="FS6" s="12" t="n">
        <v>0</v>
      </c>
      <c r="FT6" s="12" t="n">
        <v>0</v>
      </c>
      <c r="FU6" s="12" t="n">
        <v>0</v>
      </c>
      <c r="FV6" s="12" t="n">
        <v>0</v>
      </c>
      <c r="FW6" s="12" t="n">
        <v>0</v>
      </c>
      <c r="FX6" s="12" t="n">
        <v>0</v>
      </c>
      <c r="FY6" s="12" t="n">
        <v>0</v>
      </c>
      <c r="FZ6" s="12" t="n">
        <v>0</v>
      </c>
      <c r="GA6" s="12" t="n">
        <v>0</v>
      </c>
      <c r="GB6" s="12" t="n">
        <v>0</v>
      </c>
      <c r="GC6" s="12" t="n">
        <v>0</v>
      </c>
      <c r="GD6" s="12" t="n">
        <v>0</v>
      </c>
      <c r="GE6" s="12" t="n">
        <v>0</v>
      </c>
      <c r="GF6" s="12" t="n">
        <v>0</v>
      </c>
      <c r="GG6" s="12" t="n">
        <v>0</v>
      </c>
      <c r="GH6" s="12" t="n">
        <v>0</v>
      </c>
      <c r="GI6" s="12" t="n">
        <v>0</v>
      </c>
      <c r="GJ6" s="12" t="n">
        <v>0</v>
      </c>
      <c r="GK6" s="12" t="n">
        <v>0</v>
      </c>
      <c r="GL6" s="12" t="n">
        <v>0</v>
      </c>
      <c r="GM6" s="12" t="n">
        <v>0</v>
      </c>
      <c r="GN6" s="12" t="n">
        <v>0</v>
      </c>
      <c r="GO6" s="12" t="n">
        <v>0</v>
      </c>
      <c r="GP6" s="12" t="n">
        <v>0</v>
      </c>
      <c r="GQ6" s="12" t="n">
        <v>0</v>
      </c>
      <c r="GR6" s="12" t="n">
        <v>0</v>
      </c>
      <c r="GS6" s="12" t="n">
        <v>0</v>
      </c>
      <c r="GT6" s="12" t="n">
        <v>0</v>
      </c>
      <c r="GU6" s="12" t="n">
        <v>0</v>
      </c>
      <c r="GV6" s="12" t="n">
        <v>0</v>
      </c>
      <c r="GW6" s="12" t="n">
        <v>0</v>
      </c>
      <c r="GX6" s="12" t="n">
        <v>0</v>
      </c>
      <c r="GY6" s="12" t="n">
        <v>0</v>
      </c>
      <c r="GZ6" s="12" t="n">
        <v>0</v>
      </c>
      <c r="HA6" s="12" t="n">
        <v>0</v>
      </c>
      <c r="HB6" s="12" t="n">
        <v>0</v>
      </c>
      <c r="HC6" s="12" t="n">
        <v>0</v>
      </c>
      <c r="HD6" s="12" t="n">
        <v>0</v>
      </c>
      <c r="HE6" s="12" t="n">
        <v>0</v>
      </c>
      <c r="HF6" s="12" t="n">
        <v>0</v>
      </c>
      <c r="HG6" s="12" t="n">
        <v>0</v>
      </c>
      <c r="HH6" s="12" t="n">
        <v>0</v>
      </c>
      <c r="HI6" s="12" t="n">
        <v>0</v>
      </c>
      <c r="HJ6" s="12" t="n">
        <v>0</v>
      </c>
      <c r="HK6" s="12" t="n">
        <v>0</v>
      </c>
      <c r="HL6" s="12" t="n">
        <v>0</v>
      </c>
      <c r="HM6" s="12" t="n">
        <v>0</v>
      </c>
      <c r="HN6" s="12" t="n">
        <v>0</v>
      </c>
      <c r="HO6" s="12" t="n">
        <v>0</v>
      </c>
      <c r="HP6" s="12" t="n">
        <v>0</v>
      </c>
      <c r="HQ6" s="12" t="n">
        <v>0</v>
      </c>
      <c r="HR6" s="12" t="n">
        <v>0</v>
      </c>
      <c r="HS6" s="12" t="n">
        <v>0</v>
      </c>
      <c r="HT6" s="12" t="n">
        <v>0</v>
      </c>
      <c r="HU6" s="12" t="n">
        <v>0</v>
      </c>
      <c r="HV6" s="12" t="n">
        <v>0</v>
      </c>
      <c r="HW6" s="12" t="n">
        <v>0</v>
      </c>
      <c r="HX6" s="12" t="n">
        <v>0</v>
      </c>
      <c r="HY6" s="12" t="n">
        <v>0</v>
      </c>
      <c r="HZ6" s="12" t="n">
        <v>0</v>
      </c>
      <c r="IA6" s="12" t="n">
        <v>0</v>
      </c>
      <c r="IB6" s="12" t="n">
        <v>0</v>
      </c>
      <c r="IC6" s="12" t="n">
        <v>0</v>
      </c>
      <c r="ID6" s="12" t="n">
        <v>0</v>
      </c>
      <c r="IE6" s="12" t="n">
        <v>0</v>
      </c>
      <c r="IF6" s="12" t="n">
        <v>0</v>
      </c>
      <c r="IG6" s="12" t="n">
        <v>0</v>
      </c>
      <c r="IH6" s="12" t="n">
        <v>0</v>
      </c>
      <c r="II6" s="12" t="n">
        <v>0</v>
      </c>
      <c r="IJ6" s="12" t="n">
        <v>0</v>
      </c>
      <c r="IK6" s="12" t="n">
        <v>0</v>
      </c>
      <c r="IL6" s="12" t="n">
        <v>0</v>
      </c>
      <c r="IM6" s="12" t="n">
        <v>0</v>
      </c>
      <c r="IN6" s="12" t="n">
        <v>0</v>
      </c>
      <c r="IO6" s="12" t="n">
        <v>0</v>
      </c>
      <c r="IP6" s="12" t="n">
        <v>0</v>
      </c>
      <c r="IQ6" s="12" t="n">
        <v>0</v>
      </c>
    </row>
  </sheetData>
  <autoFilter ref="A4:IQ6"/>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2026-10-07T05:39:51Z</dcterms:created>
  <dcterms:modified xsi:type="dcterms:W3CDTF">2026-10-07T05:39:51Z</dcterms:modified>
</cp:coreProperties>
</file>